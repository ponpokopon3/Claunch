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filterPrivacy="1" codeName="ThisWorkbook"/>
  <xr:revisionPtr revIDLastSave="0" documentId="13_ncr:1_{018C902B-E7B7-486F-8362-254D444A6122}" xr6:coauthVersionLast="46" xr6:coauthVersionMax="46" xr10:uidLastSave="{00000000-0000-0000-0000-000000000000}"/>
  <bookViews>
    <workbookView xWindow="-120" yWindow="-120" windowWidth="29040" windowHeight="15990" tabRatio="598" xr2:uid="{00000000-000D-0000-FFFF-FFFF00000000}"/>
  </bookViews>
  <sheets>
    <sheet name="PROJECT" sheetId="42" r:id="rId1"/>
    <sheet name="HOLIDAY" sheetId="43" r:id="rId2"/>
    <sheet name="Sheet2" sheetId="45" state="hidden" r:id="rId3"/>
  </sheets>
  <functionGroups builtInGroupCount="19"/>
  <externalReferences>
    <externalReference r:id="rId4"/>
  </externalReferences>
  <definedNames>
    <definedName name="_plCalendar" localSheetId="0">PROJECT!$N$9:$CZ$9</definedName>
    <definedName name="_plEndDate" localSheetId="0">PROJECT!$K$12</definedName>
    <definedName name="_PLHistory" comment="44281,44280" localSheetId="0">PROJECT!$9:$50</definedName>
    <definedName name="_plProgressLine" localSheetId="0">PROJECT!$9:$500</definedName>
    <definedName name="_plProgressRatio" localSheetId="0">PROJECT!$I$12</definedName>
    <definedName name="_plStartDate" localSheetId="0">PROJECT!$J$12</definedName>
    <definedName name="_plTopTask" comment="442810" localSheetId="0">PROJECT!$12:$12</definedName>
    <definedName name="_ts100_4428101954" localSheetId="0">PROJECT!$100:$100</definedName>
    <definedName name="_ts101_4428101954" localSheetId="0">PROJECT!$101:$101</definedName>
    <definedName name="_ts102_4428101954" localSheetId="0">PROJECT!$102:$102</definedName>
    <definedName name="_ts103_4428101954" localSheetId="0">PROJECT!$103:$103</definedName>
    <definedName name="_ts104_4428101954" localSheetId="0">PROJECT!$104:$104</definedName>
    <definedName name="_ts105_4428101954" localSheetId="0">PROJECT!$105:$105</definedName>
    <definedName name="_ts106_4428101954" localSheetId="0">PROJECT!$106:$106</definedName>
    <definedName name="_ts107_4428101954" localSheetId="0">PROJECT!$107:$107</definedName>
    <definedName name="_ts108_4428101954" localSheetId="0">PROJECT!$108:$108</definedName>
    <definedName name="_ts109_4428101954" localSheetId="0">PROJECT!$109:$109</definedName>
    <definedName name="_ts11_44280233847" comment="442800" localSheetId="0">PROJECT!$11:$11</definedName>
    <definedName name="_ts110_4428101954" localSheetId="0">PROJECT!$110:$110</definedName>
    <definedName name="_ts111_4428101954" localSheetId="0">PROJECT!$111:$111</definedName>
    <definedName name="_ts112_4428101954" localSheetId="0">PROJECT!$112:$112</definedName>
    <definedName name="_ts113_4428101954" localSheetId="0">PROJECT!$113:$113</definedName>
    <definedName name="_ts114_4428101954" localSheetId="0">PROJECT!$114:$114</definedName>
    <definedName name="_ts115_4428101954" localSheetId="0">PROJECT!$115:$115</definedName>
    <definedName name="_ts116_4428101954" localSheetId="0">PROJECT!$116:$116</definedName>
    <definedName name="_ts117_4428101954" localSheetId="0">PROJECT!$117:$117</definedName>
    <definedName name="_ts118_4428101954" localSheetId="0">PROJECT!$118:$118</definedName>
    <definedName name="_ts119_4428101954" localSheetId="0">PROJECT!$119:$119</definedName>
    <definedName name="_ts12_44280233847" comment="44281-9.6,44280-8" localSheetId="0">PROJECT!$13:$13</definedName>
    <definedName name="_ts12_4428100037" localSheetId="0">PROJECT!$12:$12</definedName>
    <definedName name="_ts120_4428101954" localSheetId="0">PROJECT!$120:$120</definedName>
    <definedName name="_ts121_4428101954" localSheetId="0">PROJECT!$121:$121</definedName>
    <definedName name="_ts122_4428101954" localSheetId="0">PROJECT!$122:$122</definedName>
    <definedName name="_ts123_4428101954" localSheetId="0">PROJECT!$123:$123</definedName>
    <definedName name="_ts124_4428101954" localSheetId="0">PROJECT!$124:$124</definedName>
    <definedName name="_ts125_4428101954" localSheetId="0">PROJECT!$125:$125</definedName>
    <definedName name="_ts126_4428101954" localSheetId="0">PROJECT!$126:$126</definedName>
    <definedName name="_ts127_4428101954" localSheetId="0">PROJECT!$127:$127</definedName>
    <definedName name="_ts128_4428101954" localSheetId="0">PROJECT!$128:$128</definedName>
    <definedName name="_ts129_4428101954" localSheetId="0">PROJECT!$129:$129</definedName>
    <definedName name="_ts13_44280233847" comment="44281-1.2,44280-1.2" localSheetId="0">PROJECT!$14:$14</definedName>
    <definedName name="_ts130_4428101954" localSheetId="0">PROJECT!$130:$130</definedName>
    <definedName name="_ts131_4428101954" localSheetId="0">PROJECT!$131:$131</definedName>
    <definedName name="_ts132_4428101954" localSheetId="0">PROJECT!$132:$132</definedName>
    <definedName name="_ts133_4428101954" localSheetId="0">PROJECT!$133:$133</definedName>
    <definedName name="_ts134_4428101954" localSheetId="0">PROJECT!$134:$134</definedName>
    <definedName name="_ts135_4428101954" localSheetId="0">PROJECT!$135:$135</definedName>
    <definedName name="_ts136_4428101954" localSheetId="0">PROJECT!$136:$136</definedName>
    <definedName name="_ts137_4428101954" localSheetId="0">PROJECT!$137:$137</definedName>
    <definedName name="_ts138_4428101954" localSheetId="0">PROJECT!$138:$138</definedName>
    <definedName name="_ts139_4428101954" localSheetId="0">PROJECT!$139:$139</definedName>
    <definedName name="_ts14_44280233847" comment="44281-22.4,44280-21.4" localSheetId="0">PROJECT!$15:$15</definedName>
    <definedName name="_ts140_4428101954" localSheetId="0">PROJECT!$140:$140</definedName>
    <definedName name="_ts141_4428101954" localSheetId="0">PROJECT!$141:$141</definedName>
    <definedName name="_ts142_4428101954" localSheetId="0">PROJECT!$142:$142</definedName>
    <definedName name="_ts143_4428101954" localSheetId="0">PROJECT!$143:$143</definedName>
    <definedName name="_ts144_4428101954" localSheetId="0">PROJECT!$144:$144</definedName>
    <definedName name="_ts145_4428101954" localSheetId="0">PROJECT!$145:$145</definedName>
    <definedName name="_ts146_4428101954" localSheetId="0">PROJECT!$146:$146</definedName>
    <definedName name="_ts147_4428101954" localSheetId="0">PROJECT!$147:$147</definedName>
    <definedName name="_ts148_4428101954" localSheetId="0">PROJECT!$148:$148</definedName>
    <definedName name="_ts149_4428101954" localSheetId="0">PROJECT!$149:$149</definedName>
    <definedName name="_ts15_44280233847" comment="442816,442806" localSheetId="0">PROJECT!$16:$16</definedName>
    <definedName name="_ts150_4428101954" localSheetId="0">PROJECT!$150:$150</definedName>
    <definedName name="_ts151_4428101954" localSheetId="0">PROJECT!$151:$151</definedName>
    <definedName name="_ts152_4428101954" localSheetId="0">PROJECT!$152:$152</definedName>
    <definedName name="_ts153_4428101954" localSheetId="0">PROJECT!$153:$153</definedName>
    <definedName name="_ts154_4428101954" localSheetId="0">PROJECT!$154:$154</definedName>
    <definedName name="_ts155_4428101954" localSheetId="0">PROJECT!$155:$155</definedName>
    <definedName name="_ts156_4428101954" localSheetId="0">PROJECT!$156:$156</definedName>
    <definedName name="_ts157_4428101954" localSheetId="0">PROJECT!$157:$157</definedName>
    <definedName name="_ts158_4428101954" localSheetId="0">PROJECT!$158:$158</definedName>
    <definedName name="_ts159_4428101954" localSheetId="0">PROJECT!$159:$159</definedName>
    <definedName name="_ts16_44280233847" comment="442816,442806" localSheetId="0">PROJECT!$17:$17</definedName>
    <definedName name="_ts160_4428101954" localSheetId="0">PROJECT!$160:$160</definedName>
    <definedName name="_ts161_4428101954" localSheetId="0">PROJECT!$161:$161</definedName>
    <definedName name="_ts162_4428101954" localSheetId="0">PROJECT!$162:$162</definedName>
    <definedName name="_ts163_4428101954" localSheetId="0">PROJECT!$163:$163</definedName>
    <definedName name="_ts164_4428101954" localSheetId="0">PROJECT!$164:$164</definedName>
    <definedName name="_ts165_4428101954" localSheetId="0">PROJECT!$165:$165</definedName>
    <definedName name="_ts166_4428101954" localSheetId="0">PROJECT!$166:$166</definedName>
    <definedName name="_ts167_4428101954" localSheetId="0">PROJECT!$167:$167</definedName>
    <definedName name="_ts168_4428101954" localSheetId="0">PROJECT!$168:$168</definedName>
    <definedName name="_ts169_4428101954" localSheetId="0">PROJECT!$169:$169</definedName>
    <definedName name="_ts17_44280233847" comment="442816,442806" localSheetId="0">PROJECT!$18:$18</definedName>
    <definedName name="_ts170_4428101954" localSheetId="0">PROJECT!$170:$170</definedName>
    <definedName name="_ts171_4428101954" localSheetId="0">PROJECT!$171:$171</definedName>
    <definedName name="_ts172_4428101954" localSheetId="0">PROJECT!$172:$172</definedName>
    <definedName name="_ts173_4428101954" localSheetId="0">PROJECT!$173:$173</definedName>
    <definedName name="_ts174_4428101954" localSheetId="0">PROJECT!$174:$174</definedName>
    <definedName name="_ts175_4428101954" localSheetId="0">PROJECT!$175:$175</definedName>
    <definedName name="_ts176_4428101954" localSheetId="0">PROJECT!$176:$176</definedName>
    <definedName name="_ts177_4428101954" localSheetId="0">PROJECT!$177:$177</definedName>
    <definedName name="_ts178_4428101954" localSheetId="0">PROJECT!$178:$178</definedName>
    <definedName name="_ts179_4428101954" localSheetId="0">PROJECT!$179:$179</definedName>
    <definedName name="_ts18_44280233847" comment="442816,442806" localSheetId="0">PROJECT!$19:$19</definedName>
    <definedName name="_ts180_4428101954" localSheetId="0">PROJECT!$180:$180</definedName>
    <definedName name="_ts181_4428101954" localSheetId="0">PROJECT!$181:$181</definedName>
    <definedName name="_ts182_4428101954" localSheetId="0">PROJECT!$182:$182</definedName>
    <definedName name="_ts183_4428101954" localSheetId="0">PROJECT!$183:$183</definedName>
    <definedName name="_ts184_4428101954" localSheetId="0">PROJECT!$184:$184</definedName>
    <definedName name="_ts185_4428101954" localSheetId="0">PROJECT!$185:$185</definedName>
    <definedName name="_ts186_4428101954" localSheetId="0">PROJECT!$186:$186</definedName>
    <definedName name="_ts187_4428101954" localSheetId="0">PROJECT!$187:$187</definedName>
    <definedName name="_ts188_4428101954" localSheetId="0">PROJECT!$188:$188</definedName>
    <definedName name="_ts189_4428101954" localSheetId="0">PROJECT!$189:$189</definedName>
    <definedName name="_ts19_44280233847" comment="442816,442806" localSheetId="0">PROJECT!$20:$20</definedName>
    <definedName name="_ts190_4428101954" localSheetId="0">PROJECT!$190:$190</definedName>
    <definedName name="_ts191_4428101954" localSheetId="0">PROJECT!$191:$191</definedName>
    <definedName name="_ts192_4428101954" localSheetId="0">PROJECT!$192:$192</definedName>
    <definedName name="_ts193_4428101954" localSheetId="0">PROJECT!$193:$193</definedName>
    <definedName name="_ts194_4428101954" localSheetId="0">PROJECT!$194:$194</definedName>
    <definedName name="_ts195_4428101954" localSheetId="0">PROJECT!$195:$195</definedName>
    <definedName name="_ts196_4428101954" localSheetId="0">PROJECT!$196:$196</definedName>
    <definedName name="_ts197_4428101954" localSheetId="0">PROJECT!$197:$197</definedName>
    <definedName name="_ts198_4428101954" localSheetId="0">PROJECT!$198:$198</definedName>
    <definedName name="_ts199_4428101954" localSheetId="0">PROJECT!$199:$199</definedName>
    <definedName name="_ts20_44280233847" comment="442810,442800" localSheetId="0">PROJECT!$21:$21</definedName>
    <definedName name="_ts200_4428101954" localSheetId="0">PROJECT!$200:$200</definedName>
    <definedName name="_ts201_4428101954" localSheetId="0">PROJECT!$201:$201</definedName>
    <definedName name="_ts202_4428101954" localSheetId="0">PROJECT!$202:$202</definedName>
    <definedName name="_ts203_4428101954" localSheetId="0">PROJECT!$203:$203</definedName>
    <definedName name="_ts204_4428101954" localSheetId="0">PROJECT!$204:$204</definedName>
    <definedName name="_ts205_4428101954" localSheetId="0">PROJECT!$205:$205</definedName>
    <definedName name="_ts206_4428101954" localSheetId="0">PROJECT!$206:$206</definedName>
    <definedName name="_ts207_4428101954" localSheetId="0">PROJECT!$207:$207</definedName>
    <definedName name="_ts208_4428101954" localSheetId="0">PROJECT!$208:$208</definedName>
    <definedName name="_ts209_4428101954" localSheetId="0">PROJECT!$209:$209</definedName>
    <definedName name="_ts21_44280233847" comment="442810,442800" localSheetId="0">PROJECT!$22:$22</definedName>
    <definedName name="_ts210_4428101954" localSheetId="0">PROJECT!$210:$210</definedName>
    <definedName name="_ts211_4428101954" localSheetId="0">PROJECT!$211:$211</definedName>
    <definedName name="_ts212_4428101954" localSheetId="0">PROJECT!$212:$212</definedName>
    <definedName name="_ts213_4428101954" localSheetId="0">PROJECT!$213:$213</definedName>
    <definedName name="_ts214_4428101954" localSheetId="0">PROJECT!$214:$214</definedName>
    <definedName name="_ts215_4428101954" localSheetId="0">PROJECT!$215:$215</definedName>
    <definedName name="_ts216_4428101954" localSheetId="0">PROJECT!$216:$216</definedName>
    <definedName name="_ts217_4428101954" localSheetId="0">PROJECT!$217:$217</definedName>
    <definedName name="_ts218_4428101954" localSheetId="0">PROJECT!$218:$218</definedName>
    <definedName name="_ts219_4428101954" localSheetId="0">PROJECT!$219:$219</definedName>
    <definedName name="_ts22_44280233847" comment="442815,442805" localSheetId="0">PROJECT!$23:$23</definedName>
    <definedName name="_ts220_4428101954" localSheetId="0">PROJECT!$220:$220</definedName>
    <definedName name="_ts221_4428101954" localSheetId="0">PROJECT!$221:$221</definedName>
    <definedName name="_ts222_4428101954" localSheetId="0">PROJECT!$222:$222</definedName>
    <definedName name="_ts223_4428101954" localSheetId="0">PROJECT!$223:$223</definedName>
    <definedName name="_ts224_4428101954" localSheetId="0">PROJECT!$224:$224</definedName>
    <definedName name="_ts225_4428101954" localSheetId="0">PROJECT!$225:$225</definedName>
    <definedName name="_ts226_4428101954" localSheetId="0">PROJECT!$226:$226</definedName>
    <definedName name="_ts227_4428101954" localSheetId="0">PROJECT!$227:$227</definedName>
    <definedName name="_ts228_4428101954" localSheetId="0">PROJECT!$228:$228</definedName>
    <definedName name="_ts229_4428101954" localSheetId="0">PROJECT!$229:$229</definedName>
    <definedName name="_ts23_44280233847" comment="442810,442800" localSheetId="0">PROJECT!$24:$24</definedName>
    <definedName name="_ts230_4428101954" localSheetId="0">PROJECT!$230:$230</definedName>
    <definedName name="_ts231_4428101954" localSheetId="0">PROJECT!$231:$231</definedName>
    <definedName name="_ts232_4428101954" localSheetId="0">PROJECT!$232:$232</definedName>
    <definedName name="_ts233_4428101954" localSheetId="0">PROJECT!$233:$233</definedName>
    <definedName name="_ts234_4428101954" localSheetId="0">PROJECT!$234:$234</definedName>
    <definedName name="_ts235_4428101954" localSheetId="0">PROJECT!$235:$235</definedName>
    <definedName name="_ts236_4428101954" localSheetId="0">PROJECT!$236:$236</definedName>
    <definedName name="_ts237_4428101954" localSheetId="0">PROJECT!$237:$237</definedName>
    <definedName name="_ts238_4428101954" localSheetId="0">PROJECT!$238:$238</definedName>
    <definedName name="_ts239_4428101954" localSheetId="0">PROJECT!$239:$239</definedName>
    <definedName name="_ts24_44280233847" comment="4428117.8,4428015.8" localSheetId="0">PROJECT!$25:$25</definedName>
    <definedName name="_ts240_4428101954" localSheetId="0">PROJECT!$240:$240</definedName>
    <definedName name="_ts241_4428101954" localSheetId="0">PROJECT!$241:$241</definedName>
    <definedName name="_ts242_4428101954" localSheetId="0">PROJECT!$242:$242</definedName>
    <definedName name="_ts243_4428101954" localSheetId="0">PROJECT!$243:$243</definedName>
    <definedName name="_ts244_4428101954" localSheetId="0">PROJECT!$244:$244</definedName>
    <definedName name="_ts245_4428101954" localSheetId="0">PROJECT!$245:$245</definedName>
    <definedName name="_ts246_4428101954" localSheetId="0">PROJECT!$246:$246</definedName>
    <definedName name="_ts247_4428101954" localSheetId="0">PROJECT!$247:$247</definedName>
    <definedName name="_ts248_4428101954" localSheetId="0">PROJECT!$248:$248</definedName>
    <definedName name="_ts249_4428101954" localSheetId="0">PROJECT!$249:$249</definedName>
    <definedName name="_ts25_44280233847" comment="442810,442800" localSheetId="0">PROJECT!$26:$26</definedName>
    <definedName name="_ts250_4428101954" localSheetId="0">PROJECT!$250:$250</definedName>
    <definedName name="_ts251_4428101954" localSheetId="0">PROJECT!$251:$251</definedName>
    <definedName name="_ts252_4428101954" localSheetId="0">PROJECT!$252:$252</definedName>
    <definedName name="_ts253_4428101954" localSheetId="0">PROJECT!$253:$253</definedName>
    <definedName name="_ts254_4428101954" localSheetId="0">PROJECT!$254:$254</definedName>
    <definedName name="_ts255_4428101954" localSheetId="0">PROJECT!$255:$255</definedName>
    <definedName name="_ts256_4428101954" localSheetId="0">PROJECT!$256:$256</definedName>
    <definedName name="_ts257_4428101954" localSheetId="0">PROJECT!$257:$257</definedName>
    <definedName name="_ts258_4428101954" localSheetId="0">PROJECT!$258:$258</definedName>
    <definedName name="_ts259_4428101954" localSheetId="0">PROJECT!$259:$259</definedName>
    <definedName name="_ts26_44280233847" comment="44281-3,44280-3" localSheetId="0">PROJECT!$27:$27</definedName>
    <definedName name="_ts260_4428101954" localSheetId="0">PROJECT!$260:$260</definedName>
    <definedName name="_ts261_4428101954" localSheetId="0">PROJECT!$261:$261</definedName>
    <definedName name="_ts262_4428101954" localSheetId="0">PROJECT!$262:$262</definedName>
    <definedName name="_ts263_4428101954" localSheetId="0">PROJECT!$263:$263</definedName>
    <definedName name="_ts264_4428101954" localSheetId="0">PROJECT!$264:$264</definedName>
    <definedName name="_ts265_4428101954" localSheetId="0">PROJECT!$265:$265</definedName>
    <definedName name="_ts266_4428101954" localSheetId="0">PROJECT!$266:$266</definedName>
    <definedName name="_ts267_4428101954" localSheetId="0">PROJECT!$267:$267</definedName>
    <definedName name="_ts268_4428101954" localSheetId="0">PROJECT!$268:$268</definedName>
    <definedName name="_ts269_4428101954" localSheetId="0">PROJECT!$269:$269</definedName>
    <definedName name="_ts27_44280233847" comment="4428121,4428021" localSheetId="0">PROJECT!$28:$28</definedName>
    <definedName name="_ts270_4428101954" localSheetId="0">PROJECT!$270:$270</definedName>
    <definedName name="_ts271_4428101954" localSheetId="0">PROJECT!$271:$271</definedName>
    <definedName name="_ts272_4428101954" localSheetId="0">PROJECT!$272:$272</definedName>
    <definedName name="_ts273_4428101954" localSheetId="0">PROJECT!$273:$273</definedName>
    <definedName name="_ts274_4428101954" localSheetId="0">PROJECT!$274:$274</definedName>
    <definedName name="_ts275_4428101954" localSheetId="0">PROJECT!$275:$275</definedName>
    <definedName name="_ts276_4428101954" localSheetId="0">PROJECT!$276:$276</definedName>
    <definedName name="_ts277_4428101954" localSheetId="0">PROJECT!$277:$277</definedName>
    <definedName name="_ts278_4428101954" localSheetId="0">PROJECT!$278:$278</definedName>
    <definedName name="_ts279_4428101954" localSheetId="0">PROJECT!$279:$279</definedName>
    <definedName name="_ts28_44280233847" comment="442816,442806" localSheetId="0">PROJECT!$29:$29</definedName>
    <definedName name="_ts280_4428101954" localSheetId="0">PROJECT!$280:$280</definedName>
    <definedName name="_ts281_4428101954" localSheetId="0">PROJECT!$281:$281</definedName>
    <definedName name="_ts282_4428101954" localSheetId="0">PROJECT!$282:$282</definedName>
    <definedName name="_ts283_4428101954" localSheetId="0">PROJECT!$283:$283</definedName>
    <definedName name="_ts284_4428101954" localSheetId="0">PROJECT!$284:$284</definedName>
    <definedName name="_ts285_4428101954" localSheetId="0">PROJECT!$285:$285</definedName>
    <definedName name="_ts286_4428101954" localSheetId="0">PROJECT!$286:$286</definedName>
    <definedName name="_ts287_4428101954" localSheetId="0">PROJECT!$287:$287</definedName>
    <definedName name="_ts288_4428101954" localSheetId="0">PROJECT!$288:$288</definedName>
    <definedName name="_ts289_4428101954" localSheetId="0">PROJECT!$289:$289</definedName>
    <definedName name="_ts29_44280233847" comment="4428114,4428014" localSheetId="0">PROJECT!$30:$30</definedName>
    <definedName name="_ts290_4428101954" localSheetId="0">PROJECT!$290:$290</definedName>
    <definedName name="_ts291_4428101954" localSheetId="0">PROJECT!$291:$291</definedName>
    <definedName name="_ts292_4428101954" localSheetId="0">PROJECT!$292:$292</definedName>
    <definedName name="_ts293_4428101954" localSheetId="0">PROJECT!$293:$293</definedName>
    <definedName name="_ts294_4428101954" localSheetId="0">PROJECT!$294:$294</definedName>
    <definedName name="_ts295_4428101954" localSheetId="0">PROJECT!$295:$295</definedName>
    <definedName name="_ts296_4428101954" localSheetId="0">PROJECT!$296:$296</definedName>
    <definedName name="_ts297_4428101954" localSheetId="0">PROJECT!$297:$297</definedName>
    <definedName name="_ts298_4428101954" localSheetId="0">PROJECT!$298:$298</definedName>
    <definedName name="_ts299_4428101954" localSheetId="0">PROJECT!$299:$299</definedName>
    <definedName name="_ts30_44280233847" comment="442810,442800" localSheetId="0">PROJECT!$31:$31</definedName>
    <definedName name="_ts300_4428101954" localSheetId="0">PROJECT!$300:$300</definedName>
    <definedName name="_ts301_4428101954" localSheetId="0">PROJECT!$301:$301</definedName>
    <definedName name="_ts302_4428101954" localSheetId="0">PROJECT!$302:$302</definedName>
    <definedName name="_ts303_4428101954" localSheetId="0">PROJECT!$303:$303</definedName>
    <definedName name="_ts304_4428101954" localSheetId="0">PROJECT!$304:$304</definedName>
    <definedName name="_ts305_4428101954" localSheetId="0">PROJECT!$305:$305</definedName>
    <definedName name="_ts306_4428101954" localSheetId="0">PROJECT!$306:$306</definedName>
    <definedName name="_ts307_4428101954" localSheetId="0">PROJECT!$307:$307</definedName>
    <definedName name="_ts308_4428101954" localSheetId="0">PROJECT!$308:$308</definedName>
    <definedName name="_ts309_4428101954" localSheetId="0">PROJECT!$309:$309</definedName>
    <definedName name="_ts31_44280233847" comment="442815.8,442805.8" localSheetId="0">PROJECT!$32:$32</definedName>
    <definedName name="_ts310_4428101954" localSheetId="0">PROJECT!$310:$310</definedName>
    <definedName name="_ts311_4428101954" localSheetId="0">PROJECT!$311:$311</definedName>
    <definedName name="_ts312_4428101954" localSheetId="0">PROJECT!$312:$312</definedName>
    <definedName name="_ts313_4428101954" localSheetId="0">PROJECT!$313:$313</definedName>
    <definedName name="_ts314_4428101954" localSheetId="0">PROJECT!$314:$314</definedName>
    <definedName name="_ts315_4428101954" localSheetId="0">PROJECT!$315:$315</definedName>
    <definedName name="_ts316_4428101954" localSheetId="0">PROJECT!$316:$316</definedName>
    <definedName name="_ts317_4428101954" localSheetId="0">PROJECT!$317:$317</definedName>
    <definedName name="_ts318_4428101954" localSheetId="0">PROJECT!$318:$318</definedName>
    <definedName name="_ts319_4428101954" localSheetId="0">PROJECT!$319:$319</definedName>
    <definedName name="_ts32_44280233847" comment="442816,442806" localSheetId="0">PROJECT!$33:$33</definedName>
    <definedName name="_ts320_4428101954" localSheetId="0">PROJECT!$320:$320</definedName>
    <definedName name="_ts321_4428101954" localSheetId="0">PROJECT!$321:$321</definedName>
    <definedName name="_ts322_4428101954" localSheetId="0">PROJECT!$322:$322</definedName>
    <definedName name="_ts323_4428101954" localSheetId="0">PROJECT!$323:$323</definedName>
    <definedName name="_ts324_4428101954" localSheetId="0">PROJECT!$324:$324</definedName>
    <definedName name="_ts325_4428101954" localSheetId="0">PROJECT!$325:$325</definedName>
    <definedName name="_ts326_4428101954" localSheetId="0">PROJECT!$326:$326</definedName>
    <definedName name="_ts327_4428101954" localSheetId="0">PROJECT!$327:$327</definedName>
    <definedName name="_ts328_4428101954" localSheetId="0">PROJECT!$328:$328</definedName>
    <definedName name="_ts329_4428101954" localSheetId="0">PROJECT!$329:$329</definedName>
    <definedName name="_ts33_44280233847" comment="442816,442806" localSheetId="0">PROJECT!$34:$34</definedName>
    <definedName name="_ts330_4428101954" localSheetId="0">PROJECT!$330:$330</definedName>
    <definedName name="_ts331_4428101954" localSheetId="0">PROJECT!$331:$331</definedName>
    <definedName name="_ts332_4428101954" localSheetId="0">PROJECT!$332:$332</definedName>
    <definedName name="_ts333_4428101954" localSheetId="0">PROJECT!$333:$333</definedName>
    <definedName name="_ts334_4428101954" localSheetId="0">PROJECT!$334:$334</definedName>
    <definedName name="_ts335_4428101954" localSheetId="0">PROJECT!$335:$335</definedName>
    <definedName name="_ts336_4428101954" localSheetId="0">PROJECT!$336:$336</definedName>
    <definedName name="_ts337_4428101954" localSheetId="0">PROJECT!$337:$337</definedName>
    <definedName name="_ts338_4428101954" localSheetId="0">PROJECT!$338:$338</definedName>
    <definedName name="_ts339_4428101954" localSheetId="0">PROJECT!$339:$339</definedName>
    <definedName name="_ts34_44280233847" comment="442810,442800" localSheetId="0">PROJECT!$35:$35</definedName>
    <definedName name="_ts340_4428101954" localSheetId="0">PROJECT!$340:$340</definedName>
    <definedName name="_ts341_4428101954" localSheetId="0">PROJECT!$341:$341</definedName>
    <definedName name="_ts342_4428101954" localSheetId="0">PROJECT!$342:$342</definedName>
    <definedName name="_ts343_4428101954" localSheetId="0">PROJECT!$343:$343</definedName>
    <definedName name="_ts344_4428101954" localSheetId="0">PROJECT!$344:$344</definedName>
    <definedName name="_ts345_4428101954" localSheetId="0">PROJECT!$345:$345</definedName>
    <definedName name="_ts346_4428101954" localSheetId="0">PROJECT!$346:$346</definedName>
    <definedName name="_ts347_4428101954" localSheetId="0">PROJECT!$347:$347</definedName>
    <definedName name="_ts348_4428101954" localSheetId="0">PROJECT!$348:$348</definedName>
    <definedName name="_ts349_4428101954" localSheetId="0">PROJECT!$349:$349</definedName>
    <definedName name="_ts35_44280233847" comment="442806" localSheetId="0">PROJECT!$36:$36</definedName>
    <definedName name="_ts350_4428101954" localSheetId="0">PROJECT!$350:$350</definedName>
    <definedName name="_ts351_4428101954" localSheetId="0">PROJECT!$351:$351</definedName>
    <definedName name="_ts352_4428101954" localSheetId="0">PROJECT!$352:$352</definedName>
    <definedName name="_ts353_4428101954" localSheetId="0">PROJECT!$353:$353</definedName>
    <definedName name="_ts354_4428101954" localSheetId="0">PROJECT!$354:$354</definedName>
    <definedName name="_ts355_4428101954" localSheetId="0">PROJECT!$355:$355</definedName>
    <definedName name="_ts356_4428101954" localSheetId="0">PROJECT!$356:$356</definedName>
    <definedName name="_ts357_4428101954" localSheetId="0">PROJECT!$357:$357</definedName>
    <definedName name="_ts358_4428101954" localSheetId="0">PROJECT!$358:$358</definedName>
    <definedName name="_ts359_4428101954" localSheetId="0">PROJECT!$359:$359</definedName>
    <definedName name="_ts360_4428101954" localSheetId="0">PROJECT!$360:$360</definedName>
    <definedName name="_ts361_4428101954" localSheetId="0">PROJECT!$361:$361</definedName>
    <definedName name="_ts362_4428101954" localSheetId="0">PROJECT!$362:$362</definedName>
    <definedName name="_ts363_4428101954" localSheetId="0">PROJECT!$363:$363</definedName>
    <definedName name="_ts364_4428101954" localSheetId="0">PROJECT!$364:$364</definedName>
    <definedName name="_ts365_4428101954" localSheetId="0">PROJECT!$365:$365</definedName>
    <definedName name="_ts366_4428101954" localSheetId="0">PROJECT!$366:$366</definedName>
    <definedName name="_ts367_4428101954" localSheetId="0">PROJECT!$367:$367</definedName>
    <definedName name="_ts368_4428101954" localSheetId="0">PROJECT!$368:$368</definedName>
    <definedName name="_ts369_4428101954" localSheetId="0">PROJECT!$369:$369</definedName>
    <definedName name="_ts37_44280233847" comment="44281-1,44280-1" localSheetId="0">PROJECT!$38:$38</definedName>
    <definedName name="_ts37_4428101954" localSheetId="0">PROJECT!$37:$37</definedName>
    <definedName name="_ts370_4428101954" localSheetId="0">PROJECT!$370:$370</definedName>
    <definedName name="_ts371_4428101954" localSheetId="0">PROJECT!$371:$371</definedName>
    <definedName name="_ts372_4428101954" localSheetId="0">PROJECT!$372:$372</definedName>
    <definedName name="_ts373_4428101954" localSheetId="0">PROJECT!$373:$373</definedName>
    <definedName name="_ts374_4428101954" localSheetId="0">PROJECT!$374:$374</definedName>
    <definedName name="_ts375_4428101954" localSheetId="0">PROJECT!$375:$375</definedName>
    <definedName name="_ts376_4428101954" localSheetId="0">PROJECT!$376:$376</definedName>
    <definedName name="_ts377_4428101954" localSheetId="0">PROJECT!$377:$377</definedName>
    <definedName name="_ts378_4428101954" localSheetId="0">PROJECT!$378:$378</definedName>
    <definedName name="_ts379_4428101954" localSheetId="0">PROJECT!$379:$379</definedName>
    <definedName name="_ts38_44280233847" comment="4428111.5,4428011.5" localSheetId="0">PROJECT!$39:$39</definedName>
    <definedName name="_ts380_4428101954" localSheetId="0">PROJECT!$380:$380</definedName>
    <definedName name="_ts381_4428101954" localSheetId="0">PROJECT!$381:$381</definedName>
    <definedName name="_ts382_4428101954" localSheetId="0">PROJECT!$382:$382</definedName>
    <definedName name="_ts383_4428101954" localSheetId="0">PROJECT!$383:$383</definedName>
    <definedName name="_ts384_4428101954" localSheetId="0">PROJECT!$384:$384</definedName>
    <definedName name="_ts385_4428101954" localSheetId="0">PROJECT!$385:$385</definedName>
    <definedName name="_ts386_4428101954" localSheetId="0">PROJECT!$386:$386</definedName>
    <definedName name="_ts387_4428101954" localSheetId="0">PROJECT!$387:$387</definedName>
    <definedName name="_ts388_4428101954" localSheetId="0">PROJECT!$388:$388</definedName>
    <definedName name="_ts389_4428101954" localSheetId="0">PROJECT!$389:$389</definedName>
    <definedName name="_ts39_44280233847" comment="442814,442802" localSheetId="0">PROJECT!$40:$40</definedName>
    <definedName name="_ts390_4428101954" localSheetId="0">PROJECT!$390:$390</definedName>
    <definedName name="_ts391_4428101954" localSheetId="0">PROJECT!$391:$391</definedName>
    <definedName name="_ts392_4428101954" localSheetId="0">PROJECT!$392:$392</definedName>
    <definedName name="_ts393_4428101954" localSheetId="0">PROJECT!$393:$393</definedName>
    <definedName name="_ts394_4428101954" localSheetId="0">PROJECT!$394:$394</definedName>
    <definedName name="_ts395_4428101954" localSheetId="0">PROJECT!$395:$395</definedName>
    <definedName name="_ts396_4428101954" localSheetId="0">PROJECT!$396:$396</definedName>
    <definedName name="_ts397_4428101954" localSheetId="0">PROJECT!$397:$397</definedName>
    <definedName name="_ts398_4428101954" localSheetId="0">PROJECT!$398:$398</definedName>
    <definedName name="_ts399_4428101954" localSheetId="0">PROJECT!$399:$399</definedName>
    <definedName name="_ts40_44280233847" comment="44281-16.4,442800" localSheetId="0">PROJECT!$41:$41</definedName>
    <definedName name="_ts400_4428101954" localSheetId="0">PROJECT!$400:$400</definedName>
    <definedName name="_ts401_4428101954" localSheetId="0">PROJECT!$401:$401</definedName>
    <definedName name="_ts402_4428101954" localSheetId="0">PROJECT!$402:$402</definedName>
    <definedName name="_ts403_4428101954" localSheetId="0">PROJECT!$403:$403</definedName>
    <definedName name="_ts404_4428101954" localSheetId="0">PROJECT!$404:$404</definedName>
    <definedName name="_ts405_4428101954" localSheetId="0">PROJECT!$405:$405</definedName>
    <definedName name="_ts406_4428101954" localSheetId="0">PROJECT!$406:$406</definedName>
    <definedName name="_ts407_4428101954" localSheetId="0">PROJECT!$407:$407</definedName>
    <definedName name="_ts408_4428101954" localSheetId="0">PROJECT!$408:$408</definedName>
    <definedName name="_ts409_4428101954" localSheetId="0">PROJECT!$409:$409</definedName>
    <definedName name="_ts41_44280233847" comment="44281-3,44280-1" localSheetId="0">PROJECT!$42:$42</definedName>
    <definedName name="_ts410_4428101954" localSheetId="0">PROJECT!$410:$410</definedName>
    <definedName name="_ts411_4428101954" localSheetId="0">PROJECT!$411:$411</definedName>
    <definedName name="_ts412_4428101954" localSheetId="0">PROJECT!$412:$412</definedName>
    <definedName name="_ts413_4428101954" localSheetId="0">PROJECT!$413:$413</definedName>
    <definedName name="_ts414_4428101954" localSheetId="0">PROJECT!$414:$414</definedName>
    <definedName name="_ts415_4428101954" localSheetId="0">PROJECT!$415:$415</definedName>
    <definedName name="_ts416_4428101954" localSheetId="0">PROJECT!$416:$416</definedName>
    <definedName name="_ts417_4428101954" localSheetId="0">PROJECT!$417:$417</definedName>
    <definedName name="_ts418_4428101954" localSheetId="0">PROJECT!$418:$418</definedName>
    <definedName name="_ts419_4428101954" localSheetId="0">PROJECT!$419:$419</definedName>
    <definedName name="_ts42_44280233847" comment="442811,442801" localSheetId="0">PROJECT!$43:$43</definedName>
    <definedName name="_ts420_4428101954" localSheetId="0">PROJECT!$420:$420</definedName>
    <definedName name="_ts421_4428101954" localSheetId="0">PROJECT!$421:$421</definedName>
    <definedName name="_ts422_4428101954" localSheetId="0">PROJECT!$422:$422</definedName>
    <definedName name="_ts423_4428101954" localSheetId="0">PROJECT!$423:$423</definedName>
    <definedName name="_ts424_4428101954" localSheetId="0">PROJECT!$424:$424</definedName>
    <definedName name="_ts425_4428101954" localSheetId="0">PROJECT!$425:$425</definedName>
    <definedName name="_ts426_4428101954" localSheetId="0">PROJECT!$426:$426</definedName>
    <definedName name="_ts427_4428101954" localSheetId="0">PROJECT!$427:$427</definedName>
    <definedName name="_ts428_4428101954" localSheetId="0">PROJECT!$428:$428</definedName>
    <definedName name="_ts429_4428101954" localSheetId="0">PROJECT!$429:$429</definedName>
    <definedName name="_ts43_44280233847" comment="44281-26.48,44280-26.37" localSheetId="0">PROJECT!$44:$44</definedName>
    <definedName name="_ts430_4428101954" localSheetId="0">PROJECT!$430:$430</definedName>
    <definedName name="_ts431_4428101954" localSheetId="0">PROJECT!$431:$431</definedName>
    <definedName name="_ts432_4428101954" localSheetId="0">PROJECT!$432:$432</definedName>
    <definedName name="_ts433_4428101954" localSheetId="0">PROJECT!$433:$433</definedName>
    <definedName name="_ts434_4428101954" localSheetId="0">PROJECT!$434:$434</definedName>
    <definedName name="_ts435_4428101954" localSheetId="0">PROJECT!$435:$435</definedName>
    <definedName name="_ts436_4428101954" localSheetId="0">PROJECT!$436:$436</definedName>
    <definedName name="_ts437_4428101954" localSheetId="0">PROJECT!$437:$437</definedName>
    <definedName name="_ts438_4428101954" localSheetId="0">PROJECT!$438:$438</definedName>
    <definedName name="_ts439_4428101954" localSheetId="0">PROJECT!$439:$439</definedName>
    <definedName name="_ts44_44280233847" comment="4428141,4428041" localSheetId="0">PROJECT!$45:$45</definedName>
    <definedName name="_ts440_4428101954" localSheetId="0">PROJECT!$440:$440</definedName>
    <definedName name="_ts441_4428101954" localSheetId="0">PROJECT!$441:$441</definedName>
    <definedName name="_ts442_4428101954" localSheetId="0">PROJECT!$442:$442</definedName>
    <definedName name="_ts443_4428101954" localSheetId="0">PROJECT!$443:$443</definedName>
    <definedName name="_ts444_4428101954" localSheetId="0">PROJECT!$444:$444</definedName>
    <definedName name="_ts445_4428101954" localSheetId="0">PROJECT!$445:$445</definedName>
    <definedName name="_ts446_4428101954" localSheetId="0">PROJECT!$446:$446</definedName>
    <definedName name="_ts447_4428101954" localSheetId="0">PROJECT!$447:$447</definedName>
    <definedName name="_ts448_4428101954" localSheetId="0">PROJECT!$448:$448</definedName>
    <definedName name="_ts449_4428101954" localSheetId="0">PROJECT!$449:$449</definedName>
    <definedName name="_ts45_44280233847" comment="442816,442806" localSheetId="0">PROJECT!$46:$46</definedName>
    <definedName name="_ts450_4428101954" localSheetId="0">PROJECT!$450:$450</definedName>
    <definedName name="_ts451_4428101954" localSheetId="0">PROJECT!$451:$451</definedName>
    <definedName name="_ts452_4428101954" localSheetId="0">PROJECT!$452:$452</definedName>
    <definedName name="_ts453_4428101954" localSheetId="0">PROJECT!$453:$453</definedName>
    <definedName name="_ts454_4428101954" localSheetId="0">PROJECT!$454:$454</definedName>
    <definedName name="_ts455_4428101954" localSheetId="0">PROJECT!$455:$455</definedName>
    <definedName name="_ts456_4428101954" localSheetId="0">PROJECT!$456:$456</definedName>
    <definedName name="_ts457_4428101954" localSheetId="0">PROJECT!$457:$457</definedName>
    <definedName name="_ts458_4428101954" localSheetId="0">PROJECT!$458:$458</definedName>
    <definedName name="_ts459_4428101954" localSheetId="0">PROJECT!$459:$459</definedName>
    <definedName name="_ts46_44280233847" comment="4428110.4,442808.4" localSheetId="0">PROJECT!$47:$47</definedName>
    <definedName name="_ts460_4428101954" localSheetId="0">PROJECT!$460:$460</definedName>
    <definedName name="_ts461_4428101954" localSheetId="0">PROJECT!$461:$461</definedName>
    <definedName name="_ts462_4428101954" localSheetId="0">PROJECT!$462:$462</definedName>
    <definedName name="_ts463_4428101954" localSheetId="0">PROJECT!$463:$463</definedName>
    <definedName name="_ts464_4428101954" localSheetId="0">PROJECT!$464:$464</definedName>
    <definedName name="_ts465_4428101954" localSheetId="0">PROJECT!$465:$465</definedName>
    <definedName name="_ts466_4428101954" localSheetId="0">PROJECT!$466:$466</definedName>
    <definedName name="_ts467_4428101954" localSheetId="0">PROJECT!$467:$467</definedName>
    <definedName name="_ts468_4428101954" localSheetId="0">PROJECT!$468:$468</definedName>
    <definedName name="_ts469_4428101954" localSheetId="0">PROJECT!$469:$469</definedName>
    <definedName name="_ts47_44280233847" comment="4428112.6,4428012.8" localSheetId="0">PROJECT!$48:$48</definedName>
    <definedName name="_ts470_4428101954" localSheetId="0">PROJECT!$470:$470</definedName>
    <definedName name="_ts471_4428101954" localSheetId="0">PROJECT!$471:$471</definedName>
    <definedName name="_ts472_4428101954" localSheetId="0">PROJECT!$472:$472</definedName>
    <definedName name="_ts473_4428101954" localSheetId="0">PROJECT!$473:$473</definedName>
    <definedName name="_ts474_4428101954" localSheetId="0">PROJECT!$474:$474</definedName>
    <definedName name="_ts475_4428101954" localSheetId="0">PROJECT!$475:$475</definedName>
    <definedName name="_ts476_4428101954" localSheetId="0">PROJECT!$476:$476</definedName>
    <definedName name="_ts477_4428101954" localSheetId="0">PROJECT!$477:$477</definedName>
    <definedName name="_ts478_4428101954" localSheetId="0">PROJECT!$478:$478</definedName>
    <definedName name="_ts479_4428101954" localSheetId="0">PROJECT!$479:$479</definedName>
    <definedName name="_ts480_4428101954" localSheetId="0">PROJECT!$480:$480</definedName>
    <definedName name="_ts481_4428101954" localSheetId="0">PROJECT!$481:$481</definedName>
    <definedName name="_ts482_4428101954" localSheetId="0">PROJECT!$482:$482</definedName>
    <definedName name="_ts483_4428101954" localSheetId="0">PROJECT!$483:$483</definedName>
    <definedName name="_ts484_4428101954" localSheetId="0">PROJECT!$484:$484</definedName>
    <definedName name="_ts485_4428101954" localSheetId="0">PROJECT!$485:$485</definedName>
    <definedName name="_ts486_4428101954" localSheetId="0">PROJECT!$486:$486</definedName>
    <definedName name="_ts487_4428101954" localSheetId="0">PROJECT!$487:$487</definedName>
    <definedName name="_ts488_4428101954" localSheetId="0">PROJECT!$488:$488</definedName>
    <definedName name="_ts489_4428101954" localSheetId="0">PROJECT!$489:$489</definedName>
    <definedName name="_ts49_4428101730" comment="44281-2" localSheetId="0">PROJECT!$49:$49</definedName>
    <definedName name="_ts490_4428101954" localSheetId="0">PROJECT!$490:$490</definedName>
    <definedName name="_ts491_4428101954" localSheetId="0">PROJECT!$491:$491</definedName>
    <definedName name="_ts492_4428101954" localSheetId="0">PROJECT!$492:$492</definedName>
    <definedName name="_ts493_4428101954" localSheetId="0">PROJECT!$493:$493</definedName>
    <definedName name="_ts494_4428101954" localSheetId="0">PROJECT!$494:$494</definedName>
    <definedName name="_ts495_4428101954" localSheetId="0">PROJECT!$495:$495</definedName>
    <definedName name="_ts496_4428101954" localSheetId="0">PROJECT!$496:$496</definedName>
    <definedName name="_ts497_4428101954" localSheetId="0">PROJECT!$497:$497</definedName>
    <definedName name="_ts498_4428101954" localSheetId="0">PROJECT!$498:$498</definedName>
    <definedName name="_ts499_4428101954" localSheetId="0">PROJECT!$499:$499</definedName>
    <definedName name="_ts50_4428101954" localSheetId="0">PROJECT!$50:$50</definedName>
    <definedName name="_ts500_4428101954" localSheetId="0">PROJECT!$500:$500</definedName>
    <definedName name="_ts51_4428101954" localSheetId="0">PROJECT!$51:$51</definedName>
    <definedName name="_ts52_4428101954" localSheetId="0">PROJECT!$52:$52</definedName>
    <definedName name="_ts53_4428101954" localSheetId="0">PROJECT!$53:$53</definedName>
    <definedName name="_ts54_4428101954" localSheetId="0">PROJECT!$54:$54</definedName>
    <definedName name="_ts55_4428101954" comment="4428117.8" localSheetId="0">PROJECT!$55:$55</definedName>
    <definedName name="_ts56_4428101954" localSheetId="0">PROJECT!$56:$56</definedName>
    <definedName name="_ts57_4428101954" localSheetId="0">PROJECT!$57:$57</definedName>
    <definedName name="_ts58_4428101954" localSheetId="0">PROJECT!$58:$58</definedName>
    <definedName name="_ts59_4428101954" localSheetId="0">PROJECT!$59:$59</definedName>
    <definedName name="_ts60_4428101954" localSheetId="0">PROJECT!$60:$60</definedName>
    <definedName name="_ts61_4428101954" localSheetId="0">PROJECT!$61:$61</definedName>
    <definedName name="_ts62_4428101954" localSheetId="0">PROJECT!$62:$62</definedName>
    <definedName name="_ts63_4428101954" localSheetId="0">PROJECT!$63:$63</definedName>
    <definedName name="_ts64_4428101954" localSheetId="0">PROJECT!$64:$64</definedName>
    <definedName name="_ts65_4428101954" localSheetId="0">PROJECT!$65:$65</definedName>
    <definedName name="_ts66_4428101954" localSheetId="0">PROJECT!$66:$66</definedName>
    <definedName name="_ts67_4428101954" localSheetId="0">PROJECT!$67:$67</definedName>
    <definedName name="_ts68_4428101954" localSheetId="0">PROJECT!$68:$68</definedName>
    <definedName name="_ts69_4428101954" localSheetId="0">PROJECT!$69:$69</definedName>
    <definedName name="_ts70_4428101954" localSheetId="0">PROJECT!$70:$70</definedName>
    <definedName name="_ts71_4428101954" localSheetId="0">PROJECT!$71:$71</definedName>
    <definedName name="_ts72_4428101954" localSheetId="0">PROJECT!$72:$72</definedName>
    <definedName name="_ts73_4428101954" localSheetId="0">PROJECT!$73:$73</definedName>
    <definedName name="_ts74_4428101954" localSheetId="0">PROJECT!$74:$74</definedName>
    <definedName name="_ts75_4428101954" localSheetId="0">PROJECT!$75:$75</definedName>
    <definedName name="_ts76_4428101954" localSheetId="0">PROJECT!$76:$76</definedName>
    <definedName name="_ts77_4428101954" localSheetId="0">PROJECT!$77:$77</definedName>
    <definedName name="_ts78_4428101954" localSheetId="0">PROJECT!$78:$78</definedName>
    <definedName name="_ts79_4428101954" localSheetId="0">PROJECT!$79:$79</definedName>
    <definedName name="_ts80_4428101954" localSheetId="0">PROJECT!$80:$80</definedName>
    <definedName name="_ts81_4428101954" localSheetId="0">PROJECT!$81:$81</definedName>
    <definedName name="_ts82_4428101954" localSheetId="0">PROJECT!$82:$82</definedName>
    <definedName name="_ts83_4428101954" localSheetId="0">PROJECT!$83:$83</definedName>
    <definedName name="_ts84_4428101954" localSheetId="0">PROJECT!$84:$84</definedName>
    <definedName name="_ts85_4428101954" localSheetId="0">PROJECT!$85:$85</definedName>
    <definedName name="_ts86_4428101954" localSheetId="0">PROJECT!$86:$86</definedName>
    <definedName name="_ts87_4428101954" localSheetId="0">PROJECT!$87:$87</definedName>
    <definedName name="_ts88_4428101954" localSheetId="0">PROJECT!$88:$88</definedName>
    <definedName name="_ts89_4428101954" localSheetId="0">PROJECT!$89:$89</definedName>
    <definedName name="_ts90_4428101954" localSheetId="0">PROJECT!$90:$90</definedName>
    <definedName name="_ts91_4428101954" localSheetId="0">PROJECT!$91:$91</definedName>
    <definedName name="_ts92_4428101954" localSheetId="0">PROJECT!$92:$92</definedName>
    <definedName name="_ts93_4428101954" localSheetId="0">PROJECT!$93:$93</definedName>
    <definedName name="_ts94_4428101954" localSheetId="0">PROJECT!$94:$94</definedName>
    <definedName name="_ts95_4428101954" localSheetId="0">PROJECT!$95:$95</definedName>
    <definedName name="_ts96_4428101954" localSheetId="0">PROJECT!$96:$96</definedName>
    <definedName name="_ts97_4428101954" localSheetId="0">PROJECT!$97:$97</definedName>
    <definedName name="_ts98_4428101954" localSheetId="0">PROJECT!$98:$98</definedName>
    <definedName name="_ts99_4428101954" localSheetId="0">PROJECT!$99:$99</definedName>
    <definedName name="date" localSheetId="0">'[1]Simple Gantt Chart'!A$5</definedName>
    <definedName name="HOLIDAYTBL">HOLIDAY!$A$1:$A$65535</definedName>
  </definedNames>
  <calcPr calcId="191029"/>
</workbook>
</file>

<file path=xl/calcChain.xml><?xml version="1.0" encoding="utf-8"?>
<calcChain xmlns="http://schemas.openxmlformats.org/spreadsheetml/2006/main">
  <c r="I48" i="42" l="1"/>
  <c r="I49" i="42"/>
  <c r="I50" i="42"/>
  <c r="I51" i="42"/>
  <c r="I52" i="42"/>
  <c r="I53" i="42"/>
  <c r="I54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81" i="42"/>
  <c r="I82" i="42"/>
  <c r="I83" i="42"/>
  <c r="I84" i="42"/>
  <c r="I85" i="42"/>
  <c r="I86" i="42"/>
  <c r="I87" i="42"/>
  <c r="I88" i="42"/>
  <c r="I89" i="42"/>
  <c r="I90" i="42"/>
  <c r="I91" i="42"/>
  <c r="I92" i="42"/>
  <c r="I93" i="42"/>
  <c r="I94" i="42"/>
  <c r="I95" i="42"/>
  <c r="I96" i="42"/>
  <c r="I97" i="42"/>
  <c r="I98" i="42"/>
  <c r="I99" i="42"/>
  <c r="I100" i="42"/>
  <c r="I101" i="42"/>
  <c r="I102" i="42"/>
  <c r="I103" i="42"/>
  <c r="I104" i="42"/>
  <c r="I105" i="42"/>
  <c r="I106" i="42"/>
  <c r="I107" i="42"/>
  <c r="I108" i="42"/>
  <c r="I109" i="42"/>
  <c r="I110" i="42"/>
  <c r="I111" i="42"/>
  <c r="I112" i="42"/>
  <c r="I113" i="42"/>
  <c r="I114" i="42"/>
  <c r="I115" i="42"/>
  <c r="I116" i="42"/>
  <c r="I117" i="42"/>
  <c r="I118" i="42"/>
  <c r="I119" i="42"/>
  <c r="I120" i="42"/>
  <c r="I121" i="42"/>
  <c r="I122" i="42"/>
  <c r="I123" i="42"/>
  <c r="I124" i="42"/>
  <c r="I125" i="42"/>
  <c r="I126" i="42"/>
  <c r="I127" i="42"/>
  <c r="I128" i="42"/>
  <c r="I129" i="42"/>
  <c r="I130" i="42"/>
  <c r="I131" i="42"/>
  <c r="I132" i="42"/>
  <c r="I133" i="42"/>
  <c r="I134" i="42"/>
  <c r="I135" i="42"/>
  <c r="I136" i="42"/>
  <c r="I137" i="42"/>
  <c r="I138" i="42"/>
  <c r="I139" i="42"/>
  <c r="I140" i="42"/>
  <c r="I141" i="42"/>
  <c r="I142" i="42"/>
  <c r="I143" i="42"/>
  <c r="I144" i="42"/>
  <c r="I145" i="42"/>
  <c r="I146" i="42"/>
  <c r="I147" i="42"/>
  <c r="I148" i="42"/>
  <c r="I149" i="42"/>
  <c r="I150" i="42"/>
  <c r="I151" i="42"/>
  <c r="I152" i="42"/>
  <c r="I153" i="42"/>
  <c r="I154" i="42"/>
  <c r="I155" i="42"/>
  <c r="I156" i="42"/>
  <c r="I157" i="42"/>
  <c r="I158" i="42"/>
  <c r="I159" i="42"/>
  <c r="I160" i="42"/>
  <c r="I161" i="42"/>
  <c r="I162" i="42"/>
  <c r="I163" i="42"/>
  <c r="I164" i="42"/>
  <c r="I165" i="42"/>
  <c r="I166" i="42"/>
  <c r="I167" i="42"/>
  <c r="I168" i="42"/>
  <c r="I169" i="42"/>
  <c r="I170" i="42"/>
  <c r="I171" i="42"/>
  <c r="I172" i="42"/>
  <c r="I173" i="42"/>
  <c r="I174" i="42"/>
  <c r="I175" i="42"/>
  <c r="I176" i="42"/>
  <c r="I177" i="42"/>
  <c r="I178" i="42"/>
  <c r="I179" i="42"/>
  <c r="I180" i="42"/>
  <c r="I181" i="42"/>
  <c r="I182" i="42"/>
  <c r="I183" i="42"/>
  <c r="I184" i="42"/>
  <c r="I185" i="42"/>
  <c r="I186" i="42"/>
  <c r="I187" i="42"/>
  <c r="I188" i="42"/>
  <c r="I189" i="42"/>
  <c r="I190" i="42"/>
  <c r="I191" i="42"/>
  <c r="I192" i="42"/>
  <c r="I193" i="42"/>
  <c r="I194" i="42"/>
  <c r="I195" i="42"/>
  <c r="I196" i="42"/>
  <c r="I197" i="42"/>
  <c r="I198" i="42"/>
  <c r="I199" i="42"/>
  <c r="I200" i="42"/>
  <c r="I201" i="42"/>
  <c r="I202" i="42"/>
  <c r="I203" i="42"/>
  <c r="I204" i="42"/>
  <c r="I205" i="42"/>
  <c r="I206" i="42"/>
  <c r="I207" i="42"/>
  <c r="I208" i="42"/>
  <c r="I209" i="42"/>
  <c r="I210" i="42"/>
  <c r="I211" i="42"/>
  <c r="I212" i="42"/>
  <c r="I213" i="42"/>
  <c r="I214" i="42"/>
  <c r="I215" i="42"/>
  <c r="I216" i="42"/>
  <c r="I217" i="42"/>
  <c r="I218" i="42"/>
  <c r="I219" i="42"/>
  <c r="I220" i="42"/>
  <c r="I221" i="42"/>
  <c r="I222" i="42"/>
  <c r="I223" i="42"/>
  <c r="I224" i="42"/>
  <c r="I225" i="42"/>
  <c r="I226" i="42"/>
  <c r="I227" i="42"/>
  <c r="I228" i="42"/>
  <c r="I229" i="42"/>
  <c r="I230" i="42"/>
  <c r="I231" i="42"/>
  <c r="I232" i="42"/>
  <c r="I233" i="42"/>
  <c r="I234" i="42"/>
  <c r="I235" i="42"/>
  <c r="I236" i="42"/>
  <c r="I237" i="42"/>
  <c r="I238" i="42"/>
  <c r="I239" i="42"/>
  <c r="I240" i="42"/>
  <c r="I241" i="42"/>
  <c r="I242" i="42"/>
  <c r="I243" i="42"/>
  <c r="I244" i="42"/>
  <c r="I245" i="42"/>
  <c r="I246" i="42"/>
  <c r="I247" i="42"/>
  <c r="I248" i="42"/>
  <c r="I249" i="42"/>
  <c r="I250" i="42"/>
  <c r="I251" i="42"/>
  <c r="I252" i="42"/>
  <c r="I253" i="42"/>
  <c r="I254" i="42"/>
  <c r="I255" i="42"/>
  <c r="I256" i="42"/>
  <c r="I257" i="42"/>
  <c r="I258" i="42"/>
  <c r="I259" i="42"/>
  <c r="I260" i="42"/>
  <c r="I261" i="42"/>
  <c r="I262" i="42"/>
  <c r="I263" i="42"/>
  <c r="I264" i="42"/>
  <c r="I265" i="42"/>
  <c r="I266" i="42"/>
  <c r="I267" i="42"/>
  <c r="I268" i="42"/>
  <c r="I269" i="42"/>
  <c r="I270" i="42"/>
  <c r="I271" i="42"/>
  <c r="I272" i="42"/>
  <c r="I273" i="42"/>
  <c r="I274" i="42"/>
  <c r="I275" i="42"/>
  <c r="I276" i="42"/>
  <c r="I277" i="42"/>
  <c r="I278" i="42"/>
  <c r="I279" i="42"/>
  <c r="I280" i="42"/>
  <c r="I281" i="42"/>
  <c r="I282" i="42"/>
  <c r="I283" i="42"/>
  <c r="I284" i="42"/>
  <c r="I285" i="42"/>
  <c r="I286" i="42"/>
  <c r="I287" i="42"/>
  <c r="I288" i="42"/>
  <c r="I289" i="42"/>
  <c r="I290" i="42"/>
  <c r="I291" i="42"/>
  <c r="I292" i="42"/>
  <c r="I293" i="42"/>
  <c r="I294" i="42"/>
  <c r="I295" i="42"/>
  <c r="I296" i="42"/>
  <c r="I297" i="42"/>
  <c r="I298" i="42"/>
  <c r="I299" i="42"/>
  <c r="I300" i="42"/>
  <c r="I301" i="42"/>
  <c r="I302" i="42"/>
  <c r="I303" i="42"/>
  <c r="I304" i="42"/>
  <c r="I305" i="42"/>
  <c r="I306" i="42"/>
  <c r="I307" i="42"/>
  <c r="I308" i="42"/>
  <c r="I309" i="42"/>
  <c r="I310" i="42"/>
  <c r="I311" i="42"/>
  <c r="I312" i="42"/>
  <c r="I313" i="42"/>
  <c r="I314" i="42"/>
  <c r="I315" i="42"/>
  <c r="I316" i="42"/>
  <c r="I317" i="42"/>
  <c r="I318" i="42"/>
  <c r="I319" i="42"/>
  <c r="I320" i="42"/>
  <c r="I321" i="42"/>
  <c r="I322" i="42"/>
  <c r="I323" i="42"/>
  <c r="I324" i="42"/>
  <c r="I325" i="42"/>
  <c r="I326" i="42"/>
  <c r="I327" i="42"/>
  <c r="I328" i="42"/>
  <c r="I329" i="42"/>
  <c r="I330" i="42"/>
  <c r="I331" i="42"/>
  <c r="I332" i="42"/>
  <c r="I333" i="42"/>
  <c r="I334" i="42"/>
  <c r="I335" i="42"/>
  <c r="I336" i="42"/>
  <c r="I337" i="42"/>
  <c r="I338" i="42"/>
  <c r="I339" i="42"/>
  <c r="I340" i="42"/>
  <c r="I341" i="42"/>
  <c r="I342" i="42"/>
  <c r="I343" i="42"/>
  <c r="I344" i="42"/>
  <c r="I345" i="42"/>
  <c r="I346" i="42"/>
  <c r="I347" i="42"/>
  <c r="I348" i="42"/>
  <c r="I349" i="42"/>
  <c r="I350" i="42"/>
  <c r="I351" i="42"/>
  <c r="I352" i="42"/>
  <c r="I353" i="42"/>
  <c r="I354" i="42"/>
  <c r="I355" i="42"/>
  <c r="I356" i="42"/>
  <c r="I357" i="42"/>
  <c r="I358" i="42"/>
  <c r="I359" i="42"/>
  <c r="I360" i="42"/>
  <c r="I361" i="42"/>
  <c r="I362" i="42"/>
  <c r="I363" i="42"/>
  <c r="I364" i="42"/>
  <c r="I365" i="42"/>
  <c r="I366" i="42"/>
  <c r="I367" i="42"/>
  <c r="I368" i="42"/>
  <c r="I369" i="42"/>
  <c r="I370" i="42"/>
  <c r="I371" i="42"/>
  <c r="I372" i="42"/>
  <c r="I373" i="42"/>
  <c r="I374" i="42"/>
  <c r="I375" i="42"/>
  <c r="I376" i="42"/>
  <c r="I377" i="42"/>
  <c r="I378" i="42"/>
  <c r="I379" i="42"/>
  <c r="I380" i="42"/>
  <c r="I381" i="42"/>
  <c r="I382" i="42"/>
  <c r="I383" i="42"/>
  <c r="I384" i="42"/>
  <c r="I385" i="42"/>
  <c r="I386" i="42"/>
  <c r="I387" i="42"/>
  <c r="I388" i="42"/>
  <c r="I389" i="42"/>
  <c r="I390" i="42"/>
  <c r="I391" i="42"/>
  <c r="I392" i="42"/>
  <c r="I393" i="42"/>
  <c r="I394" i="42"/>
  <c r="I395" i="42"/>
  <c r="I396" i="42"/>
  <c r="I397" i="42"/>
  <c r="I398" i="42"/>
  <c r="I399" i="42"/>
  <c r="I400" i="42"/>
  <c r="I401" i="42"/>
  <c r="I402" i="42"/>
  <c r="I403" i="42"/>
  <c r="I404" i="42"/>
  <c r="I405" i="42"/>
  <c r="I406" i="42"/>
  <c r="I407" i="42"/>
  <c r="I408" i="42"/>
  <c r="I409" i="42"/>
  <c r="I410" i="42"/>
  <c r="I411" i="42"/>
  <c r="I412" i="42"/>
  <c r="I413" i="42"/>
  <c r="I414" i="42"/>
  <c r="I415" i="42"/>
  <c r="I416" i="42"/>
  <c r="I417" i="42"/>
  <c r="I418" i="42"/>
  <c r="I419" i="42"/>
  <c r="I420" i="42"/>
  <c r="I421" i="42"/>
  <c r="I422" i="42"/>
  <c r="I423" i="42"/>
  <c r="I424" i="42"/>
  <c r="I425" i="42"/>
  <c r="I426" i="42"/>
  <c r="I427" i="42"/>
  <c r="I428" i="42"/>
  <c r="I429" i="42"/>
  <c r="I430" i="42"/>
  <c r="I431" i="42"/>
  <c r="I432" i="42"/>
  <c r="I433" i="42"/>
  <c r="I434" i="42"/>
  <c r="I435" i="42"/>
  <c r="I436" i="42"/>
  <c r="I437" i="42"/>
  <c r="I438" i="42"/>
  <c r="I439" i="42"/>
  <c r="I440" i="42"/>
  <c r="I441" i="42"/>
  <c r="I442" i="42"/>
  <c r="I443" i="42"/>
  <c r="I444" i="42"/>
  <c r="I445" i="42"/>
  <c r="I446" i="42"/>
  <c r="I447" i="42"/>
  <c r="I448" i="42"/>
  <c r="I449" i="42"/>
  <c r="I450" i="42"/>
  <c r="I451" i="42"/>
  <c r="I452" i="42"/>
  <c r="I453" i="42"/>
  <c r="I454" i="42"/>
  <c r="I455" i="42"/>
  <c r="I456" i="42"/>
  <c r="I457" i="42"/>
  <c r="I458" i="42"/>
  <c r="I459" i="42"/>
  <c r="I460" i="42"/>
  <c r="I461" i="42"/>
  <c r="I462" i="42"/>
  <c r="I463" i="42"/>
  <c r="I464" i="42"/>
  <c r="I465" i="42"/>
  <c r="I466" i="42"/>
  <c r="I467" i="42"/>
  <c r="I468" i="42"/>
  <c r="I469" i="42"/>
  <c r="I470" i="42"/>
  <c r="I471" i="42"/>
  <c r="I472" i="42"/>
  <c r="I473" i="42"/>
  <c r="I474" i="42"/>
  <c r="I475" i="42"/>
  <c r="I476" i="42"/>
  <c r="I477" i="42"/>
  <c r="I478" i="42"/>
  <c r="I479" i="42"/>
  <c r="I480" i="42"/>
  <c r="I481" i="42"/>
  <c r="I482" i="42"/>
  <c r="I483" i="42"/>
  <c r="I484" i="42"/>
  <c r="I485" i="42"/>
  <c r="I486" i="42"/>
  <c r="I487" i="42"/>
  <c r="I488" i="42"/>
  <c r="I489" i="42"/>
  <c r="I490" i="42"/>
  <c r="I491" i="42"/>
  <c r="I492" i="42"/>
  <c r="I493" i="42"/>
  <c r="I494" i="42"/>
  <c r="I495" i="42"/>
  <c r="I496" i="42"/>
  <c r="I497" i="42"/>
  <c r="I498" i="42"/>
  <c r="I499" i="42"/>
  <c r="I500" i="42"/>
  <c r="I501" i="42"/>
  <c r="I502" i="42"/>
  <c r="I503" i="42"/>
  <c r="I504" i="42"/>
  <c r="I505" i="42"/>
  <c r="I506" i="42"/>
  <c r="I507" i="42"/>
  <c r="I508" i="42"/>
  <c r="I509" i="42"/>
  <c r="I510" i="42"/>
  <c r="I511" i="42"/>
  <c r="K52" i="42"/>
  <c r="J52" i="42"/>
  <c r="K54" i="42"/>
  <c r="J54" i="42"/>
  <c r="K53" i="42"/>
  <c r="J53" i="42"/>
  <c r="K51" i="42"/>
  <c r="J51" i="42"/>
  <c r="K55" i="42"/>
  <c r="J55" i="42"/>
  <c r="K50" i="42"/>
  <c r="J50" i="42"/>
  <c r="B511" i="42"/>
  <c r="B510" i="42"/>
  <c r="B509" i="42"/>
  <c r="B508" i="42"/>
  <c r="B507" i="42"/>
  <c r="B506" i="42"/>
  <c r="B505" i="42"/>
  <c r="B504" i="42"/>
  <c r="B503" i="42"/>
  <c r="B502" i="42"/>
  <c r="B501" i="42"/>
  <c r="B500" i="42"/>
  <c r="B499" i="42"/>
  <c r="B498" i="42"/>
  <c r="B497" i="42"/>
  <c r="B496" i="42"/>
  <c r="B495" i="42"/>
  <c r="B494" i="42"/>
  <c r="B493" i="42"/>
  <c r="B492" i="42"/>
  <c r="B491" i="42"/>
  <c r="B490" i="42"/>
  <c r="B489" i="42"/>
  <c r="B488" i="42"/>
  <c r="B487" i="42"/>
  <c r="B486" i="42"/>
  <c r="B485" i="42"/>
  <c r="B484" i="42"/>
  <c r="B483" i="42"/>
  <c r="B482" i="42"/>
  <c r="B481" i="42"/>
  <c r="B480" i="42"/>
  <c r="B479" i="42"/>
  <c r="B478" i="42"/>
  <c r="B477" i="42"/>
  <c r="B476" i="42"/>
  <c r="B475" i="42"/>
  <c r="B474" i="42"/>
  <c r="B473" i="42"/>
  <c r="B472" i="42"/>
  <c r="B471" i="42"/>
  <c r="B470" i="42"/>
  <c r="B469" i="42"/>
  <c r="B468" i="42"/>
  <c r="B467" i="42"/>
  <c r="B466" i="42"/>
  <c r="B465" i="42"/>
  <c r="B464" i="42"/>
  <c r="B463" i="42"/>
  <c r="B462" i="42"/>
  <c r="B461" i="42"/>
  <c r="B460" i="42"/>
  <c r="B459" i="42"/>
  <c r="B458" i="42"/>
  <c r="B457" i="42"/>
  <c r="B456" i="42"/>
  <c r="B455" i="42"/>
  <c r="B454" i="42"/>
  <c r="B453" i="42"/>
  <c r="B452" i="42"/>
  <c r="B451" i="42"/>
  <c r="B450" i="42"/>
  <c r="B449" i="42"/>
  <c r="B448" i="42"/>
  <c r="B447" i="42"/>
  <c r="B446" i="42"/>
  <c r="B445" i="42"/>
  <c r="B444" i="42"/>
  <c r="B443" i="42"/>
  <c r="B442" i="42"/>
  <c r="B441" i="42"/>
  <c r="B440" i="42"/>
  <c r="B439" i="42"/>
  <c r="B438" i="42"/>
  <c r="B437" i="42"/>
  <c r="B436" i="42"/>
  <c r="B435" i="42"/>
  <c r="B434" i="42"/>
  <c r="B433" i="42"/>
  <c r="B432" i="42"/>
  <c r="B431" i="42"/>
  <c r="B430" i="42"/>
  <c r="B429" i="42"/>
  <c r="B428" i="42"/>
  <c r="B427" i="42"/>
  <c r="B426" i="42"/>
  <c r="B425" i="42"/>
  <c r="B424" i="42"/>
  <c r="B423" i="42"/>
  <c r="B422" i="42"/>
  <c r="B421" i="42"/>
  <c r="B420" i="42"/>
  <c r="B419" i="42"/>
  <c r="B418" i="42"/>
  <c r="B417" i="42"/>
  <c r="B416" i="42"/>
  <c r="B415" i="42"/>
  <c r="B414" i="42"/>
  <c r="B413" i="42"/>
  <c r="B412" i="42"/>
  <c r="B411" i="42"/>
  <c r="B410" i="42"/>
  <c r="B409" i="42"/>
  <c r="B408" i="42"/>
  <c r="B407" i="42"/>
  <c r="B406" i="42"/>
  <c r="B405" i="42"/>
  <c r="B404" i="42"/>
  <c r="B403" i="42"/>
  <c r="B402" i="42"/>
  <c r="B401" i="42"/>
  <c r="B400" i="42"/>
  <c r="B399" i="42"/>
  <c r="B398" i="42"/>
  <c r="B397" i="42"/>
  <c r="B396" i="42"/>
  <c r="B395" i="42"/>
  <c r="B394" i="42"/>
  <c r="B393" i="42"/>
  <c r="B392" i="42"/>
  <c r="B391" i="42"/>
  <c r="B390" i="42"/>
  <c r="B389" i="42"/>
  <c r="B388" i="42"/>
  <c r="B387" i="42"/>
  <c r="B386" i="42"/>
  <c r="B385" i="42"/>
  <c r="B384" i="42"/>
  <c r="B383" i="42"/>
  <c r="B382" i="42"/>
  <c r="B381" i="42"/>
  <c r="B380" i="42"/>
  <c r="B379" i="42"/>
  <c r="B378" i="42"/>
  <c r="B377" i="42"/>
  <c r="B376" i="42"/>
  <c r="B375" i="42"/>
  <c r="B374" i="42"/>
  <c r="B373" i="42"/>
  <c r="B372" i="42"/>
  <c r="B371" i="42"/>
  <c r="B370" i="42"/>
  <c r="B369" i="42"/>
  <c r="B368" i="42"/>
  <c r="B367" i="42"/>
  <c r="B366" i="42"/>
  <c r="B365" i="42"/>
  <c r="B364" i="42"/>
  <c r="B363" i="42"/>
  <c r="B362" i="42"/>
  <c r="B361" i="42"/>
  <c r="B360" i="42"/>
  <c r="B359" i="42"/>
  <c r="B358" i="42"/>
  <c r="B357" i="42"/>
  <c r="B356" i="42"/>
  <c r="B355" i="42"/>
  <c r="B354" i="42"/>
  <c r="B353" i="42"/>
  <c r="B352" i="42"/>
  <c r="B351" i="42"/>
  <c r="B350" i="42"/>
  <c r="B349" i="42"/>
  <c r="B348" i="42"/>
  <c r="B347" i="42"/>
  <c r="B346" i="42"/>
  <c r="B345" i="42"/>
  <c r="B344" i="42"/>
  <c r="B343" i="42"/>
  <c r="B342" i="42"/>
  <c r="B341" i="42"/>
  <c r="B340" i="42"/>
  <c r="B339" i="42"/>
  <c r="B338" i="42"/>
  <c r="B337" i="42"/>
  <c r="B336" i="42"/>
  <c r="B335" i="42"/>
  <c r="B334" i="42"/>
  <c r="B333" i="42"/>
  <c r="B332" i="42"/>
  <c r="B331" i="42"/>
  <c r="B330" i="42"/>
  <c r="B329" i="42"/>
  <c r="B328" i="42"/>
  <c r="B327" i="42"/>
  <c r="B326" i="42"/>
  <c r="B325" i="42"/>
  <c r="B324" i="42"/>
  <c r="B323" i="42"/>
  <c r="B322" i="42"/>
  <c r="B321" i="42"/>
  <c r="B320" i="42"/>
  <c r="B319" i="42"/>
  <c r="B318" i="42"/>
  <c r="B317" i="42"/>
  <c r="B316" i="42"/>
  <c r="B315" i="42"/>
  <c r="B314" i="42"/>
  <c r="B313" i="42"/>
  <c r="B312" i="42"/>
  <c r="B311" i="42"/>
  <c r="B310" i="42"/>
  <c r="B309" i="42"/>
  <c r="B308" i="42"/>
  <c r="B307" i="42"/>
  <c r="B306" i="42"/>
  <c r="B305" i="42"/>
  <c r="B304" i="42"/>
  <c r="B303" i="42"/>
  <c r="B302" i="42"/>
  <c r="B301" i="42"/>
  <c r="B300" i="42"/>
  <c r="B299" i="42"/>
  <c r="B298" i="42"/>
  <c r="B297" i="42"/>
  <c r="B296" i="42"/>
  <c r="B295" i="42"/>
  <c r="B294" i="42"/>
  <c r="B293" i="42"/>
  <c r="B292" i="42"/>
  <c r="B291" i="42"/>
  <c r="B290" i="42"/>
  <c r="B289" i="42"/>
  <c r="B288" i="42"/>
  <c r="B287" i="42"/>
  <c r="B286" i="42"/>
  <c r="B285" i="42"/>
  <c r="B284" i="42"/>
  <c r="B283" i="42"/>
  <c r="B282" i="42"/>
  <c r="B281" i="42"/>
  <c r="B280" i="42"/>
  <c r="B279" i="42"/>
  <c r="B278" i="42"/>
  <c r="B277" i="42"/>
  <c r="B276" i="42"/>
  <c r="B275" i="42"/>
  <c r="B274" i="42"/>
  <c r="B273" i="42"/>
  <c r="B272" i="42"/>
  <c r="B271" i="42"/>
  <c r="B270" i="42"/>
  <c r="B269" i="42"/>
  <c r="B268" i="42"/>
  <c r="B267" i="42"/>
  <c r="B266" i="42"/>
  <c r="B265" i="42"/>
  <c r="B264" i="42"/>
  <c r="B263" i="42"/>
  <c r="B262" i="42"/>
  <c r="B261" i="42"/>
  <c r="B260" i="42"/>
  <c r="B259" i="42"/>
  <c r="B258" i="42"/>
  <c r="B257" i="42"/>
  <c r="B256" i="42"/>
  <c r="B255" i="42"/>
  <c r="B254" i="42"/>
  <c r="B253" i="42"/>
  <c r="B252" i="42"/>
  <c r="B251" i="42"/>
  <c r="B250" i="42"/>
  <c r="B249" i="42"/>
  <c r="B248" i="42"/>
  <c r="B247" i="42"/>
  <c r="B246" i="42"/>
  <c r="B245" i="42"/>
  <c r="B244" i="42"/>
  <c r="B243" i="42"/>
  <c r="B242" i="42"/>
  <c r="B241" i="42"/>
  <c r="B240" i="42"/>
  <c r="B239" i="42"/>
  <c r="B238" i="42"/>
  <c r="B237" i="42"/>
  <c r="B236" i="42"/>
  <c r="B235" i="42"/>
  <c r="B234" i="42"/>
  <c r="B233" i="42"/>
  <c r="B232" i="42"/>
  <c r="B231" i="42"/>
  <c r="B230" i="42"/>
  <c r="B229" i="42"/>
  <c r="B228" i="42"/>
  <c r="B227" i="42"/>
  <c r="B226" i="42"/>
  <c r="B225" i="42"/>
  <c r="B224" i="42"/>
  <c r="B223" i="42"/>
  <c r="B222" i="42"/>
  <c r="B221" i="42"/>
  <c r="B220" i="42"/>
  <c r="B219" i="42"/>
  <c r="B218" i="42"/>
  <c r="B217" i="42"/>
  <c r="B216" i="42"/>
  <c r="B215" i="42"/>
  <c r="B214" i="42"/>
  <c r="B213" i="42"/>
  <c r="B212" i="42"/>
  <c r="B211" i="42"/>
  <c r="B210" i="42"/>
  <c r="B209" i="42"/>
  <c r="B208" i="42"/>
  <c r="B207" i="42"/>
  <c r="B206" i="42"/>
  <c r="B205" i="42"/>
  <c r="B204" i="42"/>
  <c r="B203" i="42"/>
  <c r="B202" i="42"/>
  <c r="B201" i="42"/>
  <c r="B200" i="42"/>
  <c r="B199" i="42"/>
  <c r="B198" i="42"/>
  <c r="B197" i="42"/>
  <c r="B196" i="42"/>
  <c r="B195" i="42"/>
  <c r="B194" i="42"/>
  <c r="B193" i="42"/>
  <c r="B192" i="42"/>
  <c r="B191" i="42"/>
  <c r="B190" i="42"/>
  <c r="B189" i="42"/>
  <c r="B188" i="42"/>
  <c r="B187" i="42"/>
  <c r="B186" i="42"/>
  <c r="B185" i="42"/>
  <c r="B184" i="42"/>
  <c r="B183" i="42"/>
  <c r="B182" i="42"/>
  <c r="B181" i="42"/>
  <c r="B180" i="42"/>
  <c r="B179" i="42"/>
  <c r="B178" i="42"/>
  <c r="B177" i="42"/>
  <c r="B176" i="42"/>
  <c r="B175" i="42"/>
  <c r="B174" i="42"/>
  <c r="B173" i="42"/>
  <c r="B172" i="42"/>
  <c r="B171" i="42"/>
  <c r="B170" i="42"/>
  <c r="B169" i="42"/>
  <c r="B168" i="42"/>
  <c r="B167" i="42"/>
  <c r="B166" i="42"/>
  <c r="B165" i="42"/>
  <c r="B164" i="42"/>
  <c r="B163" i="42"/>
  <c r="B162" i="42"/>
  <c r="B161" i="42"/>
  <c r="B160" i="42"/>
  <c r="B159" i="42"/>
  <c r="B158" i="42"/>
  <c r="B157" i="42"/>
  <c r="B156" i="42"/>
  <c r="B155" i="42"/>
  <c r="B154" i="42"/>
  <c r="B153" i="42"/>
  <c r="B152" i="42"/>
  <c r="B151" i="42"/>
  <c r="B150" i="42"/>
  <c r="B149" i="42"/>
  <c r="B148" i="42"/>
  <c r="B147" i="42"/>
  <c r="B146" i="42"/>
  <c r="B145" i="42"/>
  <c r="B144" i="42"/>
  <c r="B143" i="42"/>
  <c r="B142" i="42"/>
  <c r="B141" i="42"/>
  <c r="B140" i="42"/>
  <c r="B139" i="42"/>
  <c r="B138" i="42"/>
  <c r="B137" i="42"/>
  <c r="B136" i="42"/>
  <c r="B135" i="42"/>
  <c r="B134" i="42"/>
  <c r="B133" i="42"/>
  <c r="B132" i="42"/>
  <c r="B131" i="42"/>
  <c r="B130" i="42"/>
  <c r="B129" i="42"/>
  <c r="B128" i="42"/>
  <c r="B127" i="42"/>
  <c r="B126" i="42"/>
  <c r="B125" i="42"/>
  <c r="B124" i="42"/>
  <c r="B123" i="42"/>
  <c r="B122" i="42"/>
  <c r="B121" i="42"/>
  <c r="B120" i="42"/>
  <c r="B119" i="42"/>
  <c r="B118" i="42"/>
  <c r="B117" i="42"/>
  <c r="B116" i="42"/>
  <c r="B115" i="42"/>
  <c r="B114" i="42"/>
  <c r="B113" i="42"/>
  <c r="B112" i="42"/>
  <c r="B111" i="42"/>
  <c r="B110" i="42"/>
  <c r="B109" i="42"/>
  <c r="B108" i="42"/>
  <c r="B107" i="42"/>
  <c r="B106" i="42"/>
  <c r="B105" i="42"/>
  <c r="B104" i="42"/>
  <c r="B103" i="42"/>
  <c r="B102" i="42"/>
  <c r="B101" i="42"/>
  <c r="B100" i="42"/>
  <c r="B99" i="42"/>
  <c r="B98" i="42"/>
  <c r="B97" i="42"/>
  <c r="B96" i="42"/>
  <c r="B95" i="42"/>
  <c r="B94" i="42"/>
  <c r="B93" i="42"/>
  <c r="B92" i="42"/>
  <c r="B91" i="42"/>
  <c r="B90" i="42"/>
  <c r="B89" i="42"/>
  <c r="B88" i="42"/>
  <c r="B87" i="42"/>
  <c r="B86" i="42"/>
  <c r="B85" i="42"/>
  <c r="B84" i="42"/>
  <c r="B83" i="42"/>
  <c r="B82" i="42"/>
  <c r="B81" i="42"/>
  <c r="B80" i="42"/>
  <c r="B79" i="42"/>
  <c r="B78" i="42"/>
  <c r="B77" i="42"/>
  <c r="B76" i="42"/>
  <c r="B75" i="42"/>
  <c r="B74" i="42"/>
  <c r="B73" i="42"/>
  <c r="B72" i="42"/>
  <c r="B71" i="42"/>
  <c r="B70" i="42"/>
  <c r="B69" i="42"/>
  <c r="B68" i="42"/>
  <c r="B67" i="42"/>
  <c r="B66" i="42"/>
  <c r="B65" i="42"/>
  <c r="B64" i="42"/>
  <c r="B63" i="42"/>
  <c r="B62" i="42"/>
  <c r="I13" i="42"/>
  <c r="J13" i="42"/>
  <c r="K13" i="42"/>
  <c r="I14" i="42"/>
  <c r="J14" i="42"/>
  <c r="K14" i="42"/>
  <c r="I15" i="42"/>
  <c r="J15" i="42"/>
  <c r="K15" i="42"/>
  <c r="I16" i="42"/>
  <c r="J16" i="42"/>
  <c r="K16" i="42"/>
  <c r="I17" i="42"/>
  <c r="J17" i="42"/>
  <c r="K17" i="42"/>
  <c r="I18" i="42"/>
  <c r="J18" i="42"/>
  <c r="K18" i="42"/>
  <c r="I19" i="42"/>
  <c r="J19" i="42"/>
  <c r="K19" i="42"/>
  <c r="I20" i="42"/>
  <c r="J20" i="42"/>
  <c r="K20" i="42"/>
  <c r="I21" i="42"/>
  <c r="J21" i="42"/>
  <c r="K21" i="42"/>
  <c r="I22" i="42"/>
  <c r="J22" i="42"/>
  <c r="K22" i="42"/>
  <c r="I23" i="42"/>
  <c r="J23" i="42"/>
  <c r="K23" i="42"/>
  <c r="J24" i="42"/>
  <c r="K24" i="42"/>
  <c r="I25" i="42"/>
  <c r="J25" i="42"/>
  <c r="K25" i="42"/>
  <c r="I26" i="42"/>
  <c r="J26" i="42"/>
  <c r="K26" i="42"/>
  <c r="I27" i="42"/>
  <c r="J27" i="42"/>
  <c r="K27" i="42"/>
  <c r="I28" i="42"/>
  <c r="J28" i="42"/>
  <c r="K28" i="42"/>
  <c r="I29" i="42"/>
  <c r="J29" i="42"/>
  <c r="K29" i="42"/>
  <c r="I30" i="42"/>
  <c r="J30" i="42"/>
  <c r="K30" i="42"/>
  <c r="I31" i="42"/>
  <c r="J31" i="42"/>
  <c r="K31" i="42"/>
  <c r="I32" i="42"/>
  <c r="J32" i="42"/>
  <c r="K32" i="42"/>
  <c r="I33" i="42"/>
  <c r="J33" i="42"/>
  <c r="K33" i="42"/>
  <c r="I34" i="42"/>
  <c r="J34" i="42"/>
  <c r="K34" i="42"/>
  <c r="I35" i="42"/>
  <c r="J35" i="42"/>
  <c r="K35" i="42"/>
  <c r="I36" i="42"/>
  <c r="I37" i="42"/>
  <c r="J37" i="42"/>
  <c r="K37" i="42"/>
  <c r="I38" i="42"/>
  <c r="J38" i="42"/>
  <c r="K38" i="42"/>
  <c r="I39" i="42"/>
  <c r="J39" i="42"/>
  <c r="K39" i="42"/>
  <c r="I40" i="42"/>
  <c r="J40" i="42"/>
  <c r="K40" i="42"/>
  <c r="I41" i="42"/>
  <c r="I42" i="42"/>
  <c r="I43" i="42"/>
  <c r="J43" i="42"/>
  <c r="K43" i="42"/>
  <c r="I44" i="42"/>
  <c r="J44" i="42"/>
  <c r="K44" i="42"/>
  <c r="J45" i="42"/>
  <c r="K45" i="42"/>
  <c r="I46" i="42"/>
  <c r="J46" i="42"/>
  <c r="K46" i="42"/>
  <c r="I47" i="42"/>
  <c r="J47" i="42"/>
  <c r="K47" i="42"/>
  <c r="J48" i="42"/>
  <c r="K48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12" i="42"/>
  <c r="N9" i="42" l="1"/>
  <c r="N10" i="42" s="1"/>
  <c r="N8" i="42" l="1"/>
  <c r="O9" i="42"/>
  <c r="P9" i="42" l="1"/>
  <c r="O8" i="42"/>
  <c r="O10" i="42"/>
  <c r="Q9" i="42" l="1"/>
  <c r="P8" i="42"/>
  <c r="P10" i="42"/>
  <c r="Q10" i="42" l="1"/>
  <c r="R9" i="42"/>
  <c r="Q8" i="42"/>
  <c r="R10" i="42" l="1"/>
  <c r="S9" i="42"/>
  <c r="R8" i="42"/>
  <c r="T9" i="42" l="1"/>
  <c r="S8" i="42"/>
  <c r="S10" i="42"/>
  <c r="U9" i="42" l="1"/>
  <c r="T8" i="42"/>
  <c r="T10" i="42"/>
  <c r="U10" i="42" l="1"/>
  <c r="V9" i="42"/>
  <c r="U8" i="42"/>
  <c r="V10" i="42" l="1"/>
  <c r="W9" i="42"/>
  <c r="V8" i="42"/>
  <c r="X9" i="42" l="1"/>
  <c r="W8" i="42"/>
  <c r="W10" i="42"/>
  <c r="Y9" i="42" l="1"/>
  <c r="X8" i="42"/>
  <c r="X10" i="42"/>
  <c r="Y10" i="42" l="1"/>
  <c r="Z9" i="42"/>
  <c r="Y8" i="42"/>
  <c r="Z10" i="42" l="1"/>
  <c r="AA9" i="42"/>
  <c r="Z8" i="42"/>
  <c r="AB9" i="42" l="1"/>
  <c r="AA8" i="42"/>
  <c r="AA10" i="42"/>
  <c r="AC9" i="42" l="1"/>
  <c r="AB8" i="42"/>
  <c r="AB10" i="42"/>
  <c r="AC10" i="42" l="1"/>
  <c r="AD9" i="42"/>
  <c r="AC8" i="42"/>
  <c r="AD10" i="42" l="1"/>
  <c r="AE9" i="42"/>
  <c r="AD8" i="42"/>
  <c r="AF9" i="42" l="1"/>
  <c r="AE8" i="42"/>
  <c r="AE10" i="42"/>
  <c r="AG9" i="42" l="1"/>
  <c r="AF8" i="42"/>
  <c r="AF10" i="42"/>
  <c r="AG10" i="42" l="1"/>
  <c r="AH9" i="42"/>
  <c r="AG8" i="42"/>
  <c r="AH10" i="42" l="1"/>
  <c r="AI9" i="42"/>
  <c r="AH8" i="42"/>
  <c r="AJ9" i="42" l="1"/>
  <c r="AI8" i="42"/>
  <c r="AI10" i="42"/>
  <c r="AK9" i="42" l="1"/>
  <c r="AJ8" i="42"/>
  <c r="AJ10" i="42"/>
  <c r="AK10" i="42" l="1"/>
  <c r="AL9" i="42"/>
  <c r="AK8" i="42"/>
  <c r="AL10" i="42" l="1"/>
  <c r="AM9" i="42"/>
  <c r="AL8" i="42"/>
  <c r="AN9" i="42" l="1"/>
  <c r="AM8" i="42"/>
  <c r="AM10" i="42"/>
  <c r="AO9" i="42" l="1"/>
  <c r="AN8" i="42"/>
  <c r="AN10" i="42"/>
  <c r="AO10" i="42" l="1"/>
  <c r="AP9" i="42"/>
  <c r="AO8" i="42"/>
  <c r="AP10" i="42" l="1"/>
  <c r="AQ9" i="42"/>
  <c r="AP8" i="42"/>
  <c r="AR9" i="42" l="1"/>
  <c r="AQ8" i="42"/>
  <c r="AQ10" i="42"/>
  <c r="AS9" i="42" l="1"/>
  <c r="AR8" i="42"/>
  <c r="AR10" i="42"/>
  <c r="AS10" i="42" l="1"/>
  <c r="AT9" i="42"/>
  <c r="AS8" i="42"/>
  <c r="AT10" i="42" l="1"/>
  <c r="AU9" i="42"/>
  <c r="AT8" i="42"/>
  <c r="AV9" i="42" l="1"/>
  <c r="AU8" i="42"/>
  <c r="AU10" i="42"/>
  <c r="AW9" i="42" l="1"/>
  <c r="AV8" i="42"/>
  <c r="AV10" i="42"/>
  <c r="AW10" i="42" l="1"/>
  <c r="AX9" i="42"/>
  <c r="AW8" i="42"/>
  <c r="AX10" i="42" l="1"/>
  <c r="AY9" i="42"/>
  <c r="AX8" i="42"/>
  <c r="AZ9" i="42" l="1"/>
  <c r="AY8" i="42"/>
  <c r="AY10" i="42"/>
  <c r="BA9" i="42" l="1"/>
  <c r="AZ8" i="42"/>
  <c r="AZ10" i="42"/>
  <c r="BA10" i="42" l="1"/>
  <c r="BB9" i="42"/>
  <c r="BA8" i="42"/>
  <c r="BB10" i="42" l="1"/>
  <c r="BC9" i="42"/>
  <c r="BB8" i="42"/>
  <c r="BD9" i="42" l="1"/>
  <c r="BC8" i="42"/>
  <c r="BC10" i="42"/>
  <c r="BE9" i="42" l="1"/>
  <c r="BD8" i="42"/>
  <c r="BD10" i="42"/>
  <c r="BE10" i="42" l="1"/>
  <c r="BF9" i="42"/>
  <c r="BE8" i="42"/>
  <c r="BF10" i="42" l="1"/>
  <c r="BG9" i="42"/>
  <c r="BF8" i="42"/>
  <c r="BH9" i="42" l="1"/>
  <c r="BG8" i="42"/>
  <c r="BG10" i="42"/>
  <c r="BI9" i="42" l="1"/>
  <c r="BH8" i="42"/>
  <c r="BH10" i="42"/>
  <c r="BI10" i="42" l="1"/>
  <c r="BJ9" i="42"/>
  <c r="BI8" i="42"/>
  <c r="BJ10" i="42" l="1"/>
  <c r="BK9" i="42"/>
  <c r="BJ8" i="42"/>
  <c r="BL9" i="42" l="1"/>
  <c r="BK8" i="42"/>
  <c r="BK10" i="42"/>
  <c r="BM9" i="42" l="1"/>
  <c r="BL8" i="42"/>
  <c r="BL10" i="42"/>
  <c r="BM10" i="42" l="1"/>
  <c r="BN9" i="42"/>
  <c r="BM8" i="42"/>
  <c r="BN10" i="42" l="1"/>
  <c r="BO9" i="42"/>
  <c r="BN8" i="42"/>
  <c r="BP9" i="42" l="1"/>
  <c r="BO8" i="42"/>
  <c r="BO10" i="42"/>
  <c r="BQ9" i="42" l="1"/>
  <c r="BP8" i="42"/>
  <c r="BP10" i="42"/>
  <c r="BQ10" i="42" l="1"/>
  <c r="BR9" i="42"/>
  <c r="BQ8" i="42"/>
  <c r="BR10" i="42" l="1"/>
  <c r="BS9" i="42"/>
  <c r="BR8" i="42"/>
  <c r="BT9" i="42" l="1"/>
  <c r="BS8" i="42"/>
  <c r="BS10" i="42"/>
  <c r="BU9" i="42" l="1"/>
  <c r="BT8" i="42"/>
  <c r="BT10" i="42"/>
  <c r="BU10" i="42" l="1"/>
  <c r="BV9" i="42"/>
  <c r="BU8" i="42"/>
  <c r="BV10" i="42" l="1"/>
  <c r="BW9" i="42"/>
  <c r="BV8" i="42"/>
  <c r="BX9" i="42" l="1"/>
  <c r="BW8" i="42"/>
  <c r="BW10" i="42"/>
  <c r="BY9" i="42" l="1"/>
  <c r="BX8" i="42"/>
  <c r="BX10" i="42"/>
  <c r="BY10" i="42" l="1"/>
  <c r="BZ9" i="42"/>
  <c r="BY8" i="42"/>
  <c r="BZ10" i="42" l="1"/>
  <c r="CA9" i="42"/>
  <c r="BZ8" i="42"/>
  <c r="CB9" i="42" l="1"/>
  <c r="CA8" i="42"/>
  <c r="CA10" i="42"/>
  <c r="CC9" i="42" l="1"/>
  <c r="CB8" i="42"/>
  <c r="CB10" i="42"/>
  <c r="CC10" i="42" l="1"/>
  <c r="CD9" i="42"/>
  <c r="CC8" i="42"/>
  <c r="CD10" i="42" l="1"/>
  <c r="CE9" i="42"/>
  <c r="CD8" i="42"/>
  <c r="CF9" i="42" l="1"/>
  <c r="CE8" i="42"/>
  <c r="CE10" i="42"/>
  <c r="CG9" i="42" l="1"/>
  <c r="CF8" i="42"/>
  <c r="CF10" i="42"/>
  <c r="CG10" i="42" l="1"/>
  <c r="CH9" i="42"/>
  <c r="CG8" i="42"/>
  <c r="CH10" i="42" l="1"/>
  <c r="CI9" i="42"/>
  <c r="CH8" i="42"/>
  <c r="CJ9" i="42" l="1"/>
  <c r="CI8" i="42"/>
  <c r="CI10" i="42"/>
  <c r="CK9" i="42" l="1"/>
  <c r="CJ8" i="42"/>
  <c r="CJ10" i="42"/>
  <c r="CK10" i="42" l="1"/>
  <c r="CL9" i="42"/>
  <c r="CK8" i="42"/>
  <c r="CL10" i="42" l="1"/>
  <c r="CM9" i="42"/>
  <c r="CL8" i="42"/>
  <c r="CN9" i="42" l="1"/>
  <c r="CM8" i="42"/>
  <c r="CM10" i="42"/>
  <c r="CO9" i="42" l="1"/>
  <c r="CN8" i="42"/>
  <c r="CN10" i="42"/>
  <c r="CO10" i="42" l="1"/>
  <c r="CP9" i="42"/>
  <c r="CO8" i="42"/>
  <c r="CP10" i="42" l="1"/>
  <c r="CQ9" i="42"/>
  <c r="CP8" i="42"/>
  <c r="CR9" i="42" l="1"/>
  <c r="CQ8" i="42"/>
  <c r="CQ10" i="42"/>
  <c r="CS9" i="42" l="1"/>
  <c r="CR8" i="42"/>
  <c r="CR10" i="42"/>
  <c r="CS10" i="42" l="1"/>
  <c r="CT9" i="42"/>
  <c r="CS8" i="42"/>
  <c r="CT10" i="42" l="1"/>
  <c r="CU9" i="42"/>
  <c r="CT8" i="42"/>
  <c r="CV9" i="42" l="1"/>
  <c r="CU8" i="42"/>
  <c r="CU10" i="42"/>
  <c r="CW9" i="42" l="1"/>
  <c r="CV8" i="42"/>
  <c r="CV10" i="42"/>
  <c r="CW10" i="42" l="1"/>
  <c r="CX9" i="42"/>
  <c r="CW8" i="42"/>
  <c r="CX10" i="42" l="1"/>
  <c r="CY9" i="42"/>
  <c r="CX8" i="42"/>
  <c r="CZ9" i="42" l="1"/>
  <c r="CY8" i="42"/>
  <c r="CY10" i="42"/>
  <c r="CZ8" i="42" l="1"/>
  <c r="CZ10" i="42"/>
</calcChain>
</file>

<file path=xl/sharedStrings.xml><?xml version="1.0" encoding="utf-8"?>
<sst xmlns="http://schemas.openxmlformats.org/spreadsheetml/2006/main" count="155" uniqueCount="101">
  <si>
    <t>№</t>
    <phoneticPr fontId="3"/>
  </si>
  <si>
    <t>列表示→</t>
    <rPh sb="0" eb="1">
      <t>レツ</t>
    </rPh>
    <rPh sb="1" eb="3">
      <t>ヒョウジ</t>
    </rPh>
    <phoneticPr fontId="3"/>
  </si>
  <si>
    <t>週次の考え方</t>
    <rPh sb="0" eb="1">
      <t>シュウ</t>
    </rPh>
    <rPh sb="1" eb="2">
      <t>ジ</t>
    </rPh>
    <rPh sb="3" eb="4">
      <t>カンガ</t>
    </rPh>
    <rPh sb="5" eb="6">
      <t>カタ</t>
    </rPh>
    <phoneticPr fontId="3"/>
  </si>
  <si>
    <t>7日</t>
    <rPh sb="1" eb="2">
      <t>ヒ</t>
    </rPh>
    <phoneticPr fontId="3"/>
  </si>
  <si>
    <t>14日</t>
    <rPh sb="2" eb="3">
      <t>ヒ</t>
    </rPh>
    <phoneticPr fontId="3"/>
  </si>
  <si>
    <t>・・・</t>
    <phoneticPr fontId="3"/>
  </si>
  <si>
    <t>5月</t>
    <rPh sb="1" eb="2">
      <t>ガツ</t>
    </rPh>
    <phoneticPr fontId="3"/>
  </si>
  <si>
    <t>4月</t>
    <rPh sb="1" eb="2">
      <t>ガツ</t>
    </rPh>
    <phoneticPr fontId="3"/>
  </si>
  <si>
    <t>月次の考え方</t>
    <rPh sb="0" eb="1">
      <t>ゲツ</t>
    </rPh>
    <rPh sb="1" eb="2">
      <t>ジ</t>
    </rPh>
    <rPh sb="3" eb="4">
      <t>カンガ</t>
    </rPh>
    <rPh sb="5" eb="6">
      <t>カタ</t>
    </rPh>
    <phoneticPr fontId="3"/>
  </si>
  <si>
    <t>列に表示する日付は、月末日にしてください。</t>
    <rPh sb="0" eb="1">
      <t>レツ</t>
    </rPh>
    <rPh sb="2" eb="4">
      <t>ヒョウジ</t>
    </rPh>
    <rPh sb="6" eb="8">
      <t>ヒヅケ</t>
    </rPh>
    <rPh sb="10" eb="12">
      <t>ゲツマツ</t>
    </rPh>
    <rPh sb="12" eb="13">
      <t>ビ</t>
    </rPh>
    <phoneticPr fontId="3"/>
  </si>
  <si>
    <t>列に表示する日付は、列内の最終日にしてください。</t>
    <rPh sb="0" eb="1">
      <t>レツ</t>
    </rPh>
    <rPh sb="2" eb="4">
      <t>ヒョウジ</t>
    </rPh>
    <rPh sb="6" eb="8">
      <t>ヒヅケ</t>
    </rPh>
    <rPh sb="10" eb="11">
      <t>レツ</t>
    </rPh>
    <rPh sb="11" eb="12">
      <t>ナイ</t>
    </rPh>
    <rPh sb="13" eb="16">
      <t>サイシュウビ</t>
    </rPh>
    <rPh sb="16" eb="17">
      <t>マツジツ</t>
    </rPh>
    <phoneticPr fontId="3"/>
  </si>
  <si>
    <t>休日テーブルを作成する日付範囲を設定してください。</t>
    <rPh sb="0" eb="2">
      <t>キュウジツ</t>
    </rPh>
    <rPh sb="7" eb="9">
      <t>サクセイ</t>
    </rPh>
    <rPh sb="11" eb="13">
      <t>ヒヅケ</t>
    </rPh>
    <rPh sb="13" eb="15">
      <t>ハンイ</t>
    </rPh>
    <rPh sb="16" eb="18">
      <t>セッテイ</t>
    </rPh>
    <phoneticPr fontId="3"/>
  </si>
  <si>
    <t>開始日</t>
    <rPh sb="0" eb="3">
      <t>カイシビ</t>
    </rPh>
    <phoneticPr fontId="3"/>
  </si>
  <si>
    <t>終了日</t>
    <rPh sb="0" eb="3">
      <t>シュウリョウビ</t>
    </rPh>
    <phoneticPr fontId="3"/>
  </si>
  <si>
    <t>元日</t>
  </si>
  <si>
    <t>年末年始</t>
  </si>
  <si>
    <t>成人の日</t>
  </si>
  <si>
    <t>建国記念日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</si>
  <si>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</si>
  <si>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</si>
  <si>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</si>
  <si>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</si>
  <si>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</si>
  <si>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</si>
  <si>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</si>
  <si>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</si>
  <si>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</si>
  <si>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振替休日</t>
  </si>
  <si>
    <t>敬老の日</t>
  </si>
  <si>
    <t>秋分の日</t>
  </si>
  <si>
    <t>文化の日</t>
  </si>
  <si>
    <t>勤労感謝の日</t>
  </si>
  <si>
    <t>「休日テーブル作成」を実行する前に、稲妻線の[参照設定]-[設定する]を実行してください。</t>
    <rPh sb="1" eb="3">
      <t>キュウジツ</t>
    </rPh>
    <rPh sb="7" eb="9">
      <t>サクセイ</t>
    </rPh>
    <rPh sb="11" eb="13">
      <t>ジッコウ</t>
    </rPh>
    <rPh sb="15" eb="16">
      <t>マエ</t>
    </rPh>
    <rPh sb="18" eb="20">
      <t>イナズマ</t>
    </rPh>
    <rPh sb="20" eb="21">
      <t>セン</t>
    </rPh>
    <rPh sb="23" eb="25">
      <t>サンショウ</t>
    </rPh>
    <rPh sb="25" eb="27">
      <t>セッテイ</t>
    </rPh>
    <rPh sb="30" eb="32">
      <t>セッテイ</t>
    </rPh>
    <rPh sb="36" eb="38">
      <t>ジッコウ</t>
    </rPh>
    <phoneticPr fontId="27"/>
  </si>
  <si>
    <t>条件付き書式で使用するためには休日テーブルの範囲に名前を付けて参照させる必要があります。</t>
    <rPh sb="0" eb="2">
      <t>ジョウケン</t>
    </rPh>
    <rPh sb="2" eb="3">
      <t>ツ</t>
    </rPh>
    <rPh sb="4" eb="6">
      <t>ショシキ</t>
    </rPh>
    <rPh sb="7" eb="9">
      <t>シヨウ</t>
    </rPh>
    <rPh sb="15" eb="17">
      <t>キュウジツ</t>
    </rPh>
    <rPh sb="22" eb="24">
      <t>ハンイ</t>
    </rPh>
    <rPh sb="25" eb="27">
      <t>ナマエ</t>
    </rPh>
    <rPh sb="28" eb="29">
      <t>ツ</t>
    </rPh>
    <rPh sb="31" eb="33">
      <t>サンショウ</t>
    </rPh>
    <rPh sb="36" eb="38">
      <t>ヒツヨウ</t>
    </rPh>
    <phoneticPr fontId="3"/>
  </si>
  <si>
    <t>A1:A65535には「HOLIDAYTBL」という名前をつけています。</t>
    <rPh sb="26" eb="28">
      <t>ナマエ</t>
    </rPh>
    <phoneticPr fontId="3"/>
  </si>
  <si>
    <t>VBAプロジェクトにはパスワードを設定していませんので、自由にカスタマイズしてください。</t>
    <rPh sb="17" eb="19">
      <t>セッテイ</t>
    </rPh>
    <rPh sb="28" eb="30">
      <t>ジユウ</t>
    </rPh>
    <phoneticPr fontId="27"/>
  </si>
  <si>
    <t>TASKS</t>
    <phoneticPr fontId="3"/>
  </si>
  <si>
    <t>Scheduled</t>
    <phoneticPr fontId="26"/>
  </si>
  <si>
    <t>Results</t>
    <phoneticPr fontId="3"/>
  </si>
  <si>
    <t>Start</t>
    <phoneticPr fontId="26"/>
  </si>
  <si>
    <t>End</t>
    <phoneticPr fontId="26"/>
  </si>
  <si>
    <t>TIMELINE</t>
    <phoneticPr fontId="26"/>
  </si>
  <si>
    <t>PROGRESS</t>
    <phoneticPr fontId="3"/>
  </si>
  <si>
    <t>Primary</t>
    <phoneticPr fontId="3"/>
  </si>
  <si>
    <t>Secondary</t>
    <phoneticPr fontId="3"/>
  </si>
  <si>
    <t>Tertiary</t>
    <phoneticPr fontId="3"/>
  </si>
  <si>
    <t>Scheduled</t>
    <phoneticPr fontId="3"/>
  </si>
  <si>
    <t>%</t>
    <phoneticPr fontId="3"/>
  </si>
  <si>
    <t>Project</t>
    <phoneticPr fontId="38" type="noConversion"/>
  </si>
  <si>
    <t>:</t>
    <phoneticPr fontId="3"/>
  </si>
  <si>
    <t>Project Manager</t>
    <phoneticPr fontId="3"/>
  </si>
  <si>
    <t>Project Start Date</t>
    <phoneticPr fontId="3"/>
  </si>
  <si>
    <t>Project End Date</t>
    <phoneticPr fontId="3"/>
  </si>
  <si>
    <t>RESOURCE</t>
    <phoneticPr fontId="3"/>
  </si>
  <si>
    <t>▲</t>
    <phoneticPr fontId="3"/>
  </si>
  <si>
    <t>Sample</t>
    <phoneticPr fontId="3"/>
  </si>
  <si>
    <t>Task1</t>
    <phoneticPr fontId="3"/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</si>
  <si>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</si>
  <si>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</si>
  <si>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</si>
  <si>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</si>
  <si>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</si>
  <si>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</si>
  <si>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</si>
  <si>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</si>
  <si>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</si>
  <si>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</si>
  <si>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</si>
  <si>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</si>
  <si>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</si>
  <si>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</si>
  <si>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Task16</t>
  </si>
  <si>
    <t>Task17</t>
  </si>
  <si>
    <t>Task18</t>
  </si>
  <si>
    <t>Task19</t>
  </si>
  <si>
    <t>Task20</t>
  </si>
  <si>
    <t>Task21</t>
  </si>
  <si>
    <t>Task22</t>
  </si>
  <si>
    <t>Task23</t>
  </si>
  <si>
    <t>Task24</t>
  </si>
  <si>
    <t>Task25</t>
  </si>
  <si>
    <t>Task26</t>
  </si>
  <si>
    <t>Task27</t>
  </si>
  <si>
    <t>Task28</t>
  </si>
  <si>
    <t>Task29</t>
  </si>
  <si>
    <t>Task30</t>
  </si>
  <si>
    <t>Task31</t>
  </si>
  <si>
    <t>Task32</t>
  </si>
  <si>
    <t>Task33</t>
  </si>
  <si>
    <t>Task34</t>
  </si>
  <si>
    <t>Task35</t>
  </si>
  <si>
    <t>Task36</t>
  </si>
  <si>
    <t>Task37</t>
  </si>
  <si>
    <t>Task38</t>
  </si>
  <si>
    <t>Task39</t>
  </si>
  <si>
    <t>Task40</t>
  </si>
  <si>
    <t>Task41</t>
  </si>
  <si>
    <t>Task42</t>
  </si>
  <si>
    <t>Task43</t>
  </si>
  <si>
    <t>Task44</t>
  </si>
  <si>
    <t>MILESTONE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</si>
</sst>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_ "/>
    <numFmt numFmtId="177" formatCode="0.0%"/>
    <numFmt numFmtId="178" formatCode="#,##0;\-#,##0;&quot;-&quot;"/>
    <numFmt numFmtId="179" formatCode="dd"/>
    <numFmt numFmtId="180" formatCode="aaa"/>
    <numFmt numFmtId="181" formatCode="yyyy/m/d;@"/>
    <numFmt numFmtId="182" formatCode="m/d;@"/>
    <numFmt numFmtId="183" formatCode="m"/>
    <numFmt numFmtId="184" formatCode="yyyy/mm/dd"/>
  </numFmts>
  <fonts count="49" x14ac:knownFonts="1">
    <font>
      <sz val="11"/>
      <name val="ＭＳ Ｐゴシック"/>
      <family val="3"/>
      <charset val="128"/>
    </font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name val="Meiryo UI"/>
      <family val="2"/>
      <charset val="128"/>
    </font>
    <font>
      <b/>
      <sz val="11"/>
      <color rgb="FFFF0000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9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游ゴシック"/>
      <family val="3"/>
      <charset val="128"/>
    </font>
    <font>
      <b/>
      <sz val="14"/>
      <name val="游ゴシック"/>
      <family val="3"/>
      <charset val="128"/>
    </font>
    <font>
      <b/>
      <sz val="11"/>
      <name val="游ゴシック"/>
      <family val="3"/>
      <charset val="128"/>
    </font>
    <font>
      <b/>
      <sz val="14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8"/>
      <name val="ＭＳ Ｐゴシック"/>
      <family val="2"/>
      <scheme val="minor"/>
    </font>
    <font>
      <b/>
      <sz val="18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b/>
      <sz val="14"/>
      <color theme="0"/>
      <name val="游ゴシック"/>
      <family val="3"/>
      <charset val="128"/>
    </font>
    <font>
      <sz val="12"/>
      <name val="游ゴシック"/>
      <family val="3"/>
      <charset val="128"/>
    </font>
    <font>
      <sz val="16"/>
      <name val="游ゴシック"/>
      <family val="3"/>
      <charset val="128"/>
    </font>
    <font>
      <sz val="18"/>
      <name val="游ゴシック"/>
      <family val="3"/>
      <charset val="128"/>
    </font>
    <font>
      <b/>
      <sz val="16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b/>
      <sz val="10"/>
      <color theme="0"/>
      <name val="游ゴシック"/>
      <family val="3"/>
      <charset val="128"/>
    </font>
    <font>
      <sz val="11"/>
      <color theme="0"/>
      <name val="游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6A86D"/>
        <bgColor indexed="64"/>
      </patternFill>
    </fill>
    <fill>
      <patternFill patternType="solid">
        <fgColor rgb="FF172144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94">
    <xf numFmtId="0" fontId="0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178" fontId="4" fillId="0" borderId="0" applyFill="0" applyBorder="0" applyAlignment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0" fontId="6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0" borderId="3" applyNumberFormat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9" fontId="2" fillId="0" borderId="0" applyFont="0" applyFill="0" applyBorder="0" applyAlignment="0" applyProtection="0"/>
    <xf numFmtId="0" fontId="8" fillId="22" borderId="4" applyNumberFormat="0" applyFont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23" borderId="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23" borderId="1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6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0" borderId="0">
      <alignment vertical="center"/>
    </xf>
    <xf numFmtId="0" fontId="2" fillId="0" borderId="0">
      <alignment vertical="center"/>
    </xf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0" borderId="3" applyNumberFormat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" fillId="22" borderId="4" applyNumberFormat="0" applyFont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23" borderId="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23" borderId="1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6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24" fillId="0" borderId="0">
      <alignment vertical="center"/>
    </xf>
    <xf numFmtId="9" fontId="2" fillId="0" borderId="0" applyFont="0" applyFill="0" applyBorder="0" applyAlignment="0" applyProtection="0"/>
  </cellStyleXfs>
  <cellXfs count="77">
    <xf numFmtId="0" fontId="0" fillId="0" borderId="0" xfId="0"/>
    <xf numFmtId="0" fontId="28" fillId="0" borderId="0" xfId="0" applyFont="1" applyAlignment="1">
      <alignment vertical="center"/>
    </xf>
    <xf numFmtId="0" fontId="29" fillId="0" borderId="0" xfId="91" applyFo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0" xfId="0" applyFont="1" applyAlignment="1"/>
    <xf numFmtId="0" fontId="32" fillId="0" borderId="0" xfId="0" applyFont="1" applyAlignment="1"/>
    <xf numFmtId="0" fontId="31" fillId="0" borderId="0" xfId="0" applyFont="1" applyAlignment="1">
      <alignment horizontal="right"/>
    </xf>
    <xf numFmtId="0" fontId="30" fillId="0" borderId="12" xfId="0" applyFont="1" applyBorder="1" applyAlignment="1">
      <alignment horizontal="right" vertical="center"/>
    </xf>
    <xf numFmtId="184" fontId="30" fillId="25" borderId="12" xfId="0" applyNumberFormat="1" applyFont="1" applyFill="1" applyBorder="1" applyAlignment="1">
      <alignment vertical="center"/>
    </xf>
    <xf numFmtId="184" fontId="29" fillId="25" borderId="12" xfId="91" applyNumberFormat="1" applyFont="1" applyFill="1" applyBorder="1">
      <alignment vertical="center"/>
    </xf>
    <xf numFmtId="14" fontId="0" fillId="0" borderId="0" xfId="0" applyNumberFormat="1"/>
    <xf numFmtId="0" fontId="33" fillId="0" borderId="0" xfId="0" applyFont="1" applyFill="1" applyBorder="1"/>
    <xf numFmtId="0" fontId="33" fillId="0" borderId="0" xfId="0" applyFont="1" applyBorder="1"/>
    <xf numFmtId="0" fontId="39" fillId="0" borderId="0" xfId="0" applyFont="1" applyBorder="1"/>
    <xf numFmtId="0" fontId="40" fillId="0" borderId="0" xfId="0" applyFont="1" applyBorder="1"/>
    <xf numFmtId="15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 vertical="center"/>
    </xf>
    <xf numFmtId="0" fontId="45" fillId="0" borderId="0" xfId="0" applyFont="1" applyBorder="1"/>
    <xf numFmtId="0" fontId="46" fillId="0" borderId="0" xfId="0" applyFont="1" applyBorder="1"/>
    <xf numFmtId="0" fontId="44" fillId="0" borderId="0" xfId="0" applyFont="1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7" fillId="26" borderId="0" xfId="90" applyFont="1" applyFill="1" applyBorder="1" applyAlignment="1" applyProtection="1">
      <alignment horizontal="center" vertical="center"/>
    </xf>
    <xf numFmtId="180" fontId="48" fillId="27" borderId="0" xfId="0" applyNumberFormat="1" applyFont="1" applyFill="1" applyBorder="1" applyAlignment="1">
      <alignment horizontal="center" vertical="center" wrapText="1"/>
    </xf>
    <xf numFmtId="180" fontId="48" fillId="27" borderId="0" xfId="0" applyNumberFormat="1" applyFont="1" applyFill="1" applyBorder="1" applyAlignment="1">
      <alignment horizontal="center" vertical="center"/>
    </xf>
    <xf numFmtId="0" fontId="35" fillId="0" borderId="15" xfId="0" applyNumberFormat="1" applyFont="1" applyFill="1" applyBorder="1" applyAlignment="1">
      <alignment vertical="top" wrapText="1"/>
    </xf>
    <xf numFmtId="181" fontId="35" fillId="0" borderId="15" xfId="0" applyNumberFormat="1" applyFont="1" applyFill="1" applyBorder="1" applyAlignment="1">
      <alignment horizontal="left" vertical="top" wrapText="1"/>
    </xf>
    <xf numFmtId="0" fontId="35" fillId="0" borderId="15" xfId="0" applyFont="1" applyBorder="1" applyAlignment="1">
      <alignment vertical="top"/>
    </xf>
    <xf numFmtId="0" fontId="35" fillId="0" borderId="15" xfId="0" applyNumberFormat="1" applyFont="1" applyFill="1" applyBorder="1" applyAlignment="1">
      <alignment horizontal="center" vertical="top" wrapText="1"/>
    </xf>
    <xf numFmtId="176" fontId="35" fillId="0" borderId="15" xfId="0" applyNumberFormat="1" applyFont="1" applyBorder="1" applyAlignment="1">
      <alignment horizontal="right" vertical="center" wrapText="1"/>
    </xf>
    <xf numFmtId="177" fontId="35" fillId="0" borderId="15" xfId="32" applyNumberFormat="1" applyFont="1" applyBorder="1" applyAlignment="1">
      <alignment horizontal="center" vertical="center" wrapText="1"/>
    </xf>
    <xf numFmtId="182" fontId="35" fillId="0" borderId="15" xfId="0" applyNumberFormat="1" applyFont="1" applyBorder="1" applyAlignment="1">
      <alignment horizontal="center" vertical="top" wrapText="1"/>
    </xf>
    <xf numFmtId="182" fontId="35" fillId="0" borderId="15" xfId="47" applyNumberFormat="1" applyFont="1" applyFill="1" applyBorder="1" applyAlignment="1">
      <alignment horizontal="center" vertical="top" wrapText="1"/>
    </xf>
    <xf numFmtId="0" fontId="35" fillId="0" borderId="15" xfId="0" applyFont="1" applyFill="1" applyBorder="1" applyAlignment="1">
      <alignment horizontal="left" vertical="center" wrapText="1"/>
    </xf>
    <xf numFmtId="0" fontId="35" fillId="0" borderId="15" xfId="0" applyFont="1" applyFill="1" applyBorder="1" applyAlignment="1">
      <alignment horizontal="left" vertical="top" wrapText="1"/>
    </xf>
    <xf numFmtId="0" fontId="40" fillId="0" borderId="15" xfId="47" applyFont="1" applyFill="1" applyBorder="1">
      <alignment vertical="center"/>
    </xf>
    <xf numFmtId="0" fontId="35" fillId="0" borderId="15" xfId="0" applyFont="1" applyFill="1" applyBorder="1"/>
    <xf numFmtId="0" fontId="35" fillId="0" borderId="15" xfId="0" applyFont="1" applyFill="1" applyBorder="1" applyAlignment="1">
      <alignment vertical="center" wrapText="1"/>
    </xf>
    <xf numFmtId="182" fontId="35" fillId="0" borderId="15" xfId="48" applyNumberFormat="1" applyFont="1" applyFill="1" applyBorder="1" applyAlignment="1">
      <alignment horizontal="center" vertical="top" wrapText="1"/>
    </xf>
    <xf numFmtId="0" fontId="37" fillId="0" borderId="15" xfId="0" applyFont="1" applyFill="1" applyBorder="1" applyAlignment="1">
      <alignment vertical="top" wrapText="1"/>
    </xf>
    <xf numFmtId="49" fontId="40" fillId="0" borderId="15" xfId="47" applyNumberFormat="1" applyFont="1" applyFill="1" applyBorder="1">
      <alignment vertical="center"/>
    </xf>
    <xf numFmtId="176" fontId="35" fillId="0" borderId="15" xfId="0" applyNumberFormat="1" applyFont="1" applyBorder="1" applyAlignment="1">
      <alignment vertical="center" wrapText="1"/>
    </xf>
    <xf numFmtId="0" fontId="35" fillId="0" borderId="15" xfId="0" applyFont="1" applyFill="1" applyBorder="1" applyAlignment="1">
      <alignment horizontal="left" vertical="center"/>
    </xf>
    <xf numFmtId="0" fontId="35" fillId="0" borderId="15" xfId="0" applyFont="1" applyBorder="1" applyAlignment="1">
      <alignment vertical="center" wrapText="1"/>
    </xf>
    <xf numFmtId="0" fontId="34" fillId="24" borderId="15" xfId="90" applyFont="1" applyFill="1" applyBorder="1" applyAlignment="1" applyProtection="1">
      <alignment horizontal="center" vertical="center"/>
    </xf>
    <xf numFmtId="0" fontId="36" fillId="0" borderId="15" xfId="0" applyFont="1" applyFill="1" applyBorder="1" applyAlignment="1">
      <alignment horizontal="left" vertical="center"/>
    </xf>
    <xf numFmtId="180" fontId="35" fillId="0" borderId="15" xfId="0" applyNumberFormat="1" applyFont="1" applyFill="1" applyBorder="1" applyAlignment="1">
      <alignment horizontal="center" vertical="center" wrapText="1"/>
    </xf>
    <xf numFmtId="180" fontId="35" fillId="0" borderId="15" xfId="0" applyNumberFormat="1" applyFont="1" applyFill="1" applyBorder="1" applyAlignment="1">
      <alignment horizontal="center" vertical="center"/>
    </xf>
    <xf numFmtId="0" fontId="35" fillId="0" borderId="15" xfId="0" applyFont="1" applyFill="1" applyBorder="1" applyAlignment="1">
      <alignment vertical="top" wrapText="1"/>
    </xf>
    <xf numFmtId="0" fontId="35" fillId="0" borderId="15" xfId="0" applyFont="1" applyFill="1" applyBorder="1" applyAlignment="1">
      <alignment vertical="top"/>
    </xf>
    <xf numFmtId="0" fontId="35" fillId="0" borderId="15" xfId="0" applyFont="1" applyFill="1" applyBorder="1" applyAlignment="1">
      <alignment vertical="center"/>
    </xf>
    <xf numFmtId="0" fontId="35" fillId="0" borderId="15" xfId="0" applyFont="1" applyFill="1" applyBorder="1" applyAlignment="1"/>
    <xf numFmtId="0" fontId="37" fillId="0" borderId="15" xfId="0" applyFont="1" applyFill="1" applyBorder="1" applyAlignment="1">
      <alignment vertical="center" wrapText="1"/>
    </xf>
    <xf numFmtId="49" fontId="40" fillId="0" borderId="15" xfId="47" applyNumberFormat="1" applyFont="1" applyFill="1" applyBorder="1" applyAlignment="1">
      <alignment vertical="center"/>
    </xf>
    <xf numFmtId="49" fontId="40" fillId="0" borderId="15" xfId="47" applyNumberFormat="1" applyFont="1" applyFill="1" applyBorder="1" applyAlignment="1">
      <alignment horizontal="center" vertical="center"/>
    </xf>
    <xf numFmtId="182" fontId="35" fillId="0" borderId="15" xfId="0" applyNumberFormat="1" applyFont="1" applyBorder="1" applyAlignment="1">
      <alignment horizontal="center" vertical="center" wrapText="1"/>
    </xf>
    <xf numFmtId="183" fontId="41" fillId="27" borderId="0" xfId="0" applyNumberFormat="1" applyFont="1" applyFill="1" applyBorder="1" applyAlignment="1">
      <alignment horizontal="center" vertical="center" shrinkToFit="1"/>
    </xf>
    <xf numFmtId="179" fontId="48" fillId="27" borderId="0" xfId="0" applyNumberFormat="1" applyFont="1" applyFill="1" applyBorder="1" applyAlignment="1">
      <alignment horizontal="center" vertical="center" shrinkToFit="1"/>
    </xf>
    <xf numFmtId="0" fontId="35" fillId="0" borderId="15" xfId="0" applyNumberFormat="1" applyFont="1" applyFill="1" applyBorder="1" applyAlignment="1">
      <alignment vertical="top"/>
    </xf>
    <xf numFmtId="0" fontId="35" fillId="0" borderId="15" xfId="0" applyFont="1" applyFill="1" applyBorder="1" applyAlignment="1">
      <alignment horizontal="left" vertical="top"/>
    </xf>
    <xf numFmtId="0" fontId="40" fillId="0" borderId="15" xfId="47" applyFont="1" applyFill="1" applyBorder="1" applyAlignment="1">
      <alignment vertical="center"/>
    </xf>
    <xf numFmtId="0" fontId="33" fillId="0" borderId="0" xfId="0" applyFont="1" applyFill="1" applyBorder="1" applyAlignment="1"/>
    <xf numFmtId="0" fontId="33" fillId="0" borderId="0" xfId="0" applyFont="1" applyBorder="1" applyAlignment="1"/>
    <xf numFmtId="0" fontId="41" fillId="26" borderId="0" xfId="0" applyFont="1" applyFill="1" applyBorder="1" applyAlignment="1">
      <alignment horizontal="center" vertical="center" textRotation="255"/>
    </xf>
    <xf numFmtId="0" fontId="41" fillId="26" borderId="0" xfId="0" applyFont="1" applyFill="1" applyBorder="1" applyAlignment="1">
      <alignment horizontal="center" vertical="center"/>
    </xf>
    <xf numFmtId="0" fontId="41" fillId="26" borderId="0" xfId="90" applyFont="1" applyFill="1" applyBorder="1" applyAlignment="1" applyProtection="1">
      <alignment horizontal="center" vertical="top"/>
    </xf>
    <xf numFmtId="181" fontId="35" fillId="0" borderId="15" xfId="0" applyNumberFormat="1" applyFont="1" applyFill="1" applyBorder="1" applyAlignment="1">
      <alignment horizontal="center" vertical="center"/>
    </xf>
    <xf numFmtId="0" fontId="41" fillId="26" borderId="0" xfId="90" applyFont="1" applyFill="1" applyBorder="1" applyAlignment="1" applyProtection="1">
      <alignment horizontal="center" vertical="center"/>
    </xf>
    <xf numFmtId="0" fontId="47" fillId="26" borderId="0" xfId="0" applyFont="1" applyFill="1" applyBorder="1" applyAlignment="1">
      <alignment horizontal="center" vertical="center"/>
    </xf>
    <xf numFmtId="0" fontId="47" fillId="26" borderId="0" xfId="90" applyFont="1" applyFill="1" applyBorder="1" applyAlignment="1" applyProtection="1">
      <alignment horizontal="center" vertical="center"/>
    </xf>
    <xf numFmtId="0" fontId="47" fillId="26" borderId="0" xfId="0" applyFont="1" applyFill="1" applyBorder="1" applyAlignment="1">
      <alignment horizontal="center" vertical="center" wrapText="1"/>
    </xf>
    <xf numFmtId="0" fontId="31" fillId="0" borderId="12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0" fontId="31" fillId="0" borderId="13" xfId="0" applyFont="1" applyBorder="1" applyAlignment="1">
      <alignment horizontal="center"/>
    </xf>
  </cellXfs>
  <cellStyles count="94">
    <cellStyle name="20% - アクセント 1" xfId="1" builtinId="30" customBuiltin="1"/>
    <cellStyle name="20% - アクセント 1 2" xfId="49" xr:uid="{00000000-0005-0000-0000-000001000000}"/>
    <cellStyle name="20% - アクセント 2" xfId="2" builtinId="34" customBuiltin="1"/>
    <cellStyle name="20% - アクセント 2 2" xfId="50" xr:uid="{00000000-0005-0000-0000-000003000000}"/>
    <cellStyle name="20% - アクセント 3" xfId="3" builtinId="38" customBuiltin="1"/>
    <cellStyle name="20% - アクセント 3 2" xfId="51" xr:uid="{00000000-0005-0000-0000-000005000000}"/>
    <cellStyle name="20% - アクセント 4" xfId="4" builtinId="42" customBuiltin="1"/>
    <cellStyle name="20% - アクセント 4 2" xfId="52" xr:uid="{00000000-0005-0000-0000-000007000000}"/>
    <cellStyle name="20% - アクセント 5" xfId="5" builtinId="46" customBuiltin="1"/>
    <cellStyle name="20% - アクセント 5 2" xfId="53" xr:uid="{00000000-0005-0000-0000-000009000000}"/>
    <cellStyle name="20% - アクセント 6" xfId="6" builtinId="50" customBuiltin="1"/>
    <cellStyle name="20% - アクセント 6 2" xfId="54" xr:uid="{00000000-0005-0000-0000-00000B000000}"/>
    <cellStyle name="40% - アクセント 1" xfId="7" builtinId="31" customBuiltin="1"/>
    <cellStyle name="40% - アクセント 1 2" xfId="55" xr:uid="{00000000-0005-0000-0000-00000D000000}"/>
    <cellStyle name="40% - アクセント 2" xfId="8" builtinId="35" customBuiltin="1"/>
    <cellStyle name="40% - アクセント 2 2" xfId="56" xr:uid="{00000000-0005-0000-0000-00000F000000}"/>
    <cellStyle name="40% - アクセント 3" xfId="9" builtinId="39" customBuiltin="1"/>
    <cellStyle name="40% - アクセント 3 2" xfId="57" xr:uid="{00000000-0005-0000-0000-000011000000}"/>
    <cellStyle name="40% - アクセント 4" xfId="10" builtinId="43" customBuiltin="1"/>
    <cellStyle name="40% - アクセント 4 2" xfId="58" xr:uid="{00000000-0005-0000-0000-000013000000}"/>
    <cellStyle name="40% - アクセント 5" xfId="11" builtinId="47" customBuiltin="1"/>
    <cellStyle name="40% - アクセント 5 2" xfId="59" xr:uid="{00000000-0005-0000-0000-000015000000}"/>
    <cellStyle name="40% - アクセント 6" xfId="12" builtinId="51" customBuiltin="1"/>
    <cellStyle name="40% - アクセント 6 2" xfId="60" xr:uid="{00000000-0005-0000-0000-000017000000}"/>
    <cellStyle name="60% - アクセント 1" xfId="13" builtinId="32" customBuiltin="1"/>
    <cellStyle name="60% - アクセント 1 2" xfId="61" xr:uid="{00000000-0005-0000-0000-000019000000}"/>
    <cellStyle name="60% - アクセント 2" xfId="14" builtinId="36" customBuiltin="1"/>
    <cellStyle name="60% - アクセント 2 2" xfId="62" xr:uid="{00000000-0005-0000-0000-00001B000000}"/>
    <cellStyle name="60% - アクセント 3" xfId="15" builtinId="40" customBuiltin="1"/>
    <cellStyle name="60% - アクセント 3 2" xfId="63" xr:uid="{00000000-0005-0000-0000-00001D000000}"/>
    <cellStyle name="60% - アクセント 4" xfId="16" builtinId="44" customBuiltin="1"/>
    <cellStyle name="60% - アクセント 4 2" xfId="64" xr:uid="{00000000-0005-0000-0000-00001F000000}"/>
    <cellStyle name="60% - アクセント 5" xfId="17" builtinId="48" customBuiltin="1"/>
    <cellStyle name="60% - アクセント 5 2" xfId="65" xr:uid="{00000000-0005-0000-0000-000021000000}"/>
    <cellStyle name="60% - アクセント 6" xfId="18" builtinId="52" customBuiltin="1"/>
    <cellStyle name="60% - アクセント 6 2" xfId="66" xr:uid="{00000000-0005-0000-0000-000023000000}"/>
    <cellStyle name="Calc Currency (0)" xfId="19" xr:uid="{00000000-0005-0000-0000-000024000000}"/>
    <cellStyle name="Header1" xfId="20" xr:uid="{00000000-0005-0000-0000-000025000000}"/>
    <cellStyle name="Header2" xfId="21" xr:uid="{00000000-0005-0000-0000-000026000000}"/>
    <cellStyle name="Normal_#18-Internet" xfId="22" xr:uid="{00000000-0005-0000-0000-000027000000}"/>
    <cellStyle name="アクセント 1" xfId="23" builtinId="29" customBuiltin="1"/>
    <cellStyle name="アクセント 1 2" xfId="67" xr:uid="{00000000-0005-0000-0000-000029000000}"/>
    <cellStyle name="アクセント 2" xfId="24" builtinId="33" customBuiltin="1"/>
    <cellStyle name="アクセント 2 2" xfId="68" xr:uid="{00000000-0005-0000-0000-00002B000000}"/>
    <cellStyle name="アクセント 3" xfId="25" builtinId="37" customBuiltin="1"/>
    <cellStyle name="アクセント 3 2" xfId="69" xr:uid="{00000000-0005-0000-0000-00002D000000}"/>
    <cellStyle name="アクセント 4" xfId="26" builtinId="41" customBuiltin="1"/>
    <cellStyle name="アクセント 4 2" xfId="70" xr:uid="{00000000-0005-0000-0000-00002F000000}"/>
    <cellStyle name="アクセント 5" xfId="27" builtinId="45" customBuiltin="1"/>
    <cellStyle name="アクセント 5 2" xfId="71" xr:uid="{00000000-0005-0000-0000-000031000000}"/>
    <cellStyle name="アクセント 6" xfId="28" builtinId="49" customBuiltin="1"/>
    <cellStyle name="アクセント 6 2" xfId="72" xr:uid="{00000000-0005-0000-0000-000033000000}"/>
    <cellStyle name="タイトル" xfId="29" builtinId="15" customBuiltin="1"/>
    <cellStyle name="タイトル 2" xfId="73" xr:uid="{00000000-0005-0000-0000-000035000000}"/>
    <cellStyle name="チェック セル" xfId="30" builtinId="23" customBuiltin="1"/>
    <cellStyle name="チェック セル 2" xfId="74" xr:uid="{00000000-0005-0000-0000-000037000000}"/>
    <cellStyle name="どちらでもない" xfId="31" builtinId="28" customBuiltin="1"/>
    <cellStyle name="どちらでもない 2" xfId="75" xr:uid="{00000000-0005-0000-0000-000039000000}"/>
    <cellStyle name="パーセント" xfId="32" builtinId="5"/>
    <cellStyle name="パーセント 2" xfId="93" xr:uid="{00000000-0005-0000-0000-00003B000000}"/>
    <cellStyle name="メモ" xfId="33" builtinId="10" customBuiltin="1"/>
    <cellStyle name="メモ 2" xfId="76" xr:uid="{00000000-0005-0000-0000-00003D000000}"/>
    <cellStyle name="リンク セル" xfId="34" builtinId="24" customBuiltin="1"/>
    <cellStyle name="リンク セル 2" xfId="77" xr:uid="{00000000-0005-0000-0000-00003F000000}"/>
    <cellStyle name="悪い" xfId="35" builtinId="27" customBuiltin="1"/>
    <cellStyle name="悪い 2" xfId="78" xr:uid="{00000000-0005-0000-0000-000041000000}"/>
    <cellStyle name="計算" xfId="36" builtinId="22" customBuiltin="1"/>
    <cellStyle name="計算 2" xfId="79" xr:uid="{00000000-0005-0000-0000-000043000000}"/>
    <cellStyle name="警告文" xfId="37" builtinId="11" customBuiltin="1"/>
    <cellStyle name="警告文 2" xfId="80" xr:uid="{00000000-0005-0000-0000-000045000000}"/>
    <cellStyle name="見出し 1" xfId="38" builtinId="16" customBuiltin="1"/>
    <cellStyle name="見出し 1 2" xfId="81" xr:uid="{00000000-0005-0000-0000-000047000000}"/>
    <cellStyle name="見出し 2" xfId="39" builtinId="17" customBuiltin="1"/>
    <cellStyle name="見出し 2 2" xfId="82" xr:uid="{00000000-0005-0000-0000-000049000000}"/>
    <cellStyle name="見出し 3" xfId="40" builtinId="18" customBuiltin="1"/>
    <cellStyle name="見出し 3 2" xfId="83" xr:uid="{00000000-0005-0000-0000-00004B000000}"/>
    <cellStyle name="見出し 4" xfId="41" builtinId="19" customBuiltin="1"/>
    <cellStyle name="見出し 4 2" xfId="84" xr:uid="{00000000-0005-0000-0000-00004D000000}"/>
    <cellStyle name="集計" xfId="42" builtinId="25" customBuiltin="1"/>
    <cellStyle name="集計 2" xfId="85" xr:uid="{00000000-0005-0000-0000-00004F000000}"/>
    <cellStyle name="出力" xfId="43" builtinId="21" customBuiltin="1"/>
    <cellStyle name="出力 2" xfId="86" xr:uid="{00000000-0005-0000-0000-000051000000}"/>
    <cellStyle name="説明文" xfId="44" builtinId="53" customBuiltin="1"/>
    <cellStyle name="説明文 2" xfId="87" xr:uid="{00000000-0005-0000-0000-000053000000}"/>
    <cellStyle name="入力" xfId="45" builtinId="20" customBuiltin="1"/>
    <cellStyle name="入力 2" xfId="88" xr:uid="{00000000-0005-0000-0000-000055000000}"/>
    <cellStyle name="標準" xfId="0" builtinId="0"/>
    <cellStyle name="標準 2" xfId="47" xr:uid="{00000000-0005-0000-0000-000057000000}"/>
    <cellStyle name="標準 2 2" xfId="48" xr:uid="{00000000-0005-0000-0000-000058000000}"/>
    <cellStyle name="標準 2 4" xfId="92" xr:uid="{00000000-0005-0000-0000-000059000000}"/>
    <cellStyle name="標準 3" xfId="91" xr:uid="{00000000-0005-0000-0000-00005A000000}"/>
    <cellStyle name="標準_【全銀Ｍ伝検討】Ｍ伝サーバ化検討スケジュール(2007.01.15)" xfId="90" xr:uid="{00000000-0005-0000-0000-00005B000000}"/>
    <cellStyle name="良い" xfId="46" builtinId="26" customBuiltin="1"/>
    <cellStyle name="良い 2" xfId="89" xr:uid="{00000000-0005-0000-0000-00005D000000}"/>
  </cellStyles>
  <dxfs count="40"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  <dxf>
      <fill>
        <patternFill patternType="solid">
          <fgColor theme="0" tint="-0.24994659260841701"/>
          <bgColor theme="7" tint="0.59996337778862885"/>
        </patternFill>
      </fill>
    </dxf>
    <dxf>
      <border>
        <bottom style="thin">
          <color rgb="FFFF0000"/>
        </bottom>
      </border>
    </dxf>
    <dxf>
      <fill>
        <patternFill patternType="darkUp">
          <fgColor theme="0" tint="-4.9989318521683403E-2"/>
          <bgColor auto="1"/>
        </patternFill>
      </fill>
    </dxf>
    <dxf>
      <border>
        <left style="thin">
          <color auto="1"/>
        </lef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172144"/>
      <color rgb="FFD9D9D9"/>
      <color rgb="FF26A86D"/>
      <color rgb="FFFFFF99"/>
      <color rgb="FF00FF00"/>
      <color rgb="FF66FF33"/>
      <color rgb="FF0000FF"/>
      <color rgb="FFFF00FF"/>
      <color rgb="FFF31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10" name="History">
          <a:extLst>
            <a:ext uri="{FF2B5EF4-FFF2-40B4-BE49-F238E27FC236}">
              <a16:creationId xmlns:a16="http://schemas.microsoft.com/office/drawing/2014/main" id="{AAB03D68-8A1A-41FE-A1DC-2D273A0D09A5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6905625" y="0"/>
              </a:moveTo>
              <a:lnTo>
                <a:pt x="6905625" y="523875"/>
              </a:lnTo>
              <a:lnTo>
                <a:pt x="6629400" y="728663"/>
              </a:lnTo>
              <a:lnTo>
                <a:pt x="6905625" y="933450"/>
              </a:ln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984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12" name="History">
          <a:extLst>
            <a:ext uri="{FF2B5EF4-FFF2-40B4-BE49-F238E27FC236}">
              <a16:creationId xmlns:a16="http://schemas.microsoft.com/office/drawing/2014/main" id="{B7CB0993-B135-4B45-9DEA-39279FA6BBA7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6905625" y="0"/>
              </a:moveTo>
              <a:lnTo>
                <a:pt x="6905625" y="523875"/>
              </a:lnTo>
              <a:lnTo>
                <a:pt x="6629400" y="728663"/>
              </a:lnTo>
              <a:lnTo>
                <a:pt x="6905625" y="933450"/>
              </a:ln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984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14" name="History">
          <a:extLst>
            <a:ext uri="{FF2B5EF4-FFF2-40B4-BE49-F238E27FC236}">
              <a16:creationId xmlns:a16="http://schemas.microsoft.com/office/drawing/2014/main" id="{384BDD04-2D7F-48AD-A2FF-BA8C8917F777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6905625" y="0"/>
              </a:moveTo>
              <a:lnTo>
                <a:pt x="6905625" y="523875"/>
              </a:lnTo>
              <a:lnTo>
                <a:pt x="6629400" y="728663"/>
              </a:lnTo>
              <a:lnTo>
                <a:pt x="6905625" y="933450"/>
              </a:ln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984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16" name="History">
          <a:extLst>
            <a:ext uri="{FF2B5EF4-FFF2-40B4-BE49-F238E27FC236}">
              <a16:creationId xmlns:a16="http://schemas.microsoft.com/office/drawing/2014/main" id="{81D526DB-D468-4DB3-A984-8C34F14A0BAE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6905625" y="0"/>
              </a:moveTo>
              <a:lnTo>
                <a:pt x="6905625" y="523875"/>
              </a:lnTo>
              <a:lnTo>
                <a:pt x="6629400" y="728663"/>
              </a:lnTo>
              <a:lnTo>
                <a:pt x="6905625" y="933450"/>
              </a:ln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984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3" name="History">
          <a:extLst>
            <a:ext uri="{FF2B5EF4-FFF2-40B4-BE49-F238E27FC236}">
              <a16:creationId xmlns:a16="http://schemas.microsoft.com/office/drawing/2014/main" id="{BA57D7AE-6B81-43F2-9DF4-E04F80F4D7A6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6905625" y="0"/>
              </a:moveTo>
              <a:lnTo>
                <a:pt x="6905625" y="523875"/>
              </a:lnTo>
              <a:lnTo>
                <a:pt x="6629400" y="728663"/>
              </a:lnTo>
              <a:lnTo>
                <a:pt x="6905625" y="933450"/>
              </a:ln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984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24" name="Report">
          <a:extLst>
            <a:ext uri="{FF2B5EF4-FFF2-40B4-BE49-F238E27FC236}">
              <a16:creationId xmlns:a16="http://schemas.microsoft.com/office/drawing/2014/main" id="{3A798924-25BA-4917-9C82-953302656DE1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7181850" y="0"/>
              </a:moveTo>
              <a:lnTo>
                <a:pt x="7181850" y="933450"/>
              </a:lnTo>
              <a:lnTo>
                <a:pt x="6905625" y="1047750"/>
              </a:lnTo>
              <a:lnTo>
                <a:pt x="7181850" y="1162050"/>
              </a:lnTo>
              <a:lnTo>
                <a:pt x="7181850" y="1162050"/>
              </a:lnTo>
              <a:lnTo>
                <a:pt x="4585336" y="1276350"/>
              </a:lnTo>
              <a:lnTo>
                <a:pt x="7181850" y="1390650"/>
              </a:lnTo>
              <a:lnTo>
                <a:pt x="7181850" y="1390650"/>
              </a:lnTo>
              <a:lnTo>
                <a:pt x="6684645" y="1504950"/>
              </a:lnTo>
              <a:lnTo>
                <a:pt x="7181850" y="1619250"/>
              </a:lnTo>
              <a:lnTo>
                <a:pt x="7181850" y="1619250"/>
              </a:lnTo>
              <a:lnTo>
                <a:pt x="939165" y="1733550"/>
              </a:lnTo>
              <a:lnTo>
                <a:pt x="7181850" y="1847850"/>
              </a:lnTo>
              <a:lnTo>
                <a:pt x="7181850" y="1847850"/>
              </a:lnTo>
              <a:lnTo>
                <a:pt x="8562975" y="1962150"/>
              </a:lnTo>
              <a:lnTo>
                <a:pt x="7181850" y="2076450"/>
              </a:lnTo>
              <a:lnTo>
                <a:pt x="7181850" y="2076450"/>
              </a:lnTo>
              <a:lnTo>
                <a:pt x="8562975" y="2190750"/>
              </a:lnTo>
              <a:lnTo>
                <a:pt x="7181850" y="2305050"/>
              </a:lnTo>
              <a:lnTo>
                <a:pt x="7181850" y="2305050"/>
              </a:lnTo>
              <a:lnTo>
                <a:pt x="8562975" y="2419350"/>
              </a:lnTo>
              <a:lnTo>
                <a:pt x="7181850" y="2533650"/>
              </a:lnTo>
              <a:lnTo>
                <a:pt x="7181850" y="2533650"/>
              </a:lnTo>
              <a:lnTo>
                <a:pt x="8562975" y="2647950"/>
              </a:lnTo>
              <a:lnTo>
                <a:pt x="7181850" y="2762250"/>
              </a:lnTo>
              <a:lnTo>
                <a:pt x="7181850" y="2762250"/>
              </a:lnTo>
              <a:lnTo>
                <a:pt x="8562975" y="2876550"/>
              </a:lnTo>
              <a:lnTo>
                <a:pt x="7181850" y="2990850"/>
              </a:lnTo>
              <a:lnTo>
                <a:pt x="7181850" y="2990850"/>
              </a:lnTo>
              <a:lnTo>
                <a:pt x="6905625" y="3105150"/>
              </a:lnTo>
              <a:lnTo>
                <a:pt x="7181850" y="3219450"/>
              </a:lnTo>
              <a:lnTo>
                <a:pt x="7181850" y="3219450"/>
              </a:lnTo>
              <a:lnTo>
                <a:pt x="6905625" y="3333750"/>
              </a:lnTo>
              <a:lnTo>
                <a:pt x="7181850" y="3448050"/>
              </a:lnTo>
              <a:lnTo>
                <a:pt x="7181850" y="3448050"/>
              </a:lnTo>
              <a:lnTo>
                <a:pt x="8286750" y="3562350"/>
              </a:lnTo>
              <a:lnTo>
                <a:pt x="7181850" y="3676650"/>
              </a:lnTo>
              <a:lnTo>
                <a:pt x="7181850" y="3676650"/>
              </a:lnTo>
              <a:lnTo>
                <a:pt x="6905625" y="3790950"/>
              </a:lnTo>
              <a:lnTo>
                <a:pt x="7181850" y="3905250"/>
              </a:lnTo>
              <a:lnTo>
                <a:pt x="7181850" y="3905250"/>
              </a:lnTo>
              <a:lnTo>
                <a:pt x="11822430" y="4019550"/>
              </a:lnTo>
              <a:lnTo>
                <a:pt x="7181850" y="4133850"/>
              </a:lnTo>
              <a:lnTo>
                <a:pt x="7181850" y="4133850"/>
              </a:lnTo>
              <a:lnTo>
                <a:pt x="6905625" y="4248150"/>
              </a:lnTo>
              <a:lnTo>
                <a:pt x="7181850" y="4362450"/>
              </a:lnTo>
              <a:lnTo>
                <a:pt x="7181850" y="4362450"/>
              </a:lnTo>
              <a:lnTo>
                <a:pt x="6076950" y="4476750"/>
              </a:lnTo>
              <a:lnTo>
                <a:pt x="7181850" y="4591050"/>
              </a:lnTo>
              <a:lnTo>
                <a:pt x="7181850" y="4591050"/>
              </a:lnTo>
              <a:lnTo>
                <a:pt x="12706350" y="4705350"/>
              </a:lnTo>
              <a:lnTo>
                <a:pt x="7181850" y="4819650"/>
              </a:lnTo>
              <a:lnTo>
                <a:pt x="7181850" y="4819650"/>
              </a:lnTo>
              <a:lnTo>
                <a:pt x="8562975" y="4933950"/>
              </a:lnTo>
              <a:lnTo>
                <a:pt x="7181850" y="5048250"/>
              </a:lnTo>
              <a:lnTo>
                <a:pt x="7181850" y="5048250"/>
              </a:lnTo>
              <a:lnTo>
                <a:pt x="10772775" y="5162550"/>
              </a:lnTo>
              <a:lnTo>
                <a:pt x="7181850" y="5276850"/>
              </a:lnTo>
              <a:lnTo>
                <a:pt x="7181850" y="5276850"/>
              </a:lnTo>
              <a:lnTo>
                <a:pt x="6905625" y="5391150"/>
              </a:lnTo>
              <a:lnTo>
                <a:pt x="7181850" y="5505450"/>
              </a:lnTo>
              <a:lnTo>
                <a:pt x="7181850" y="5505450"/>
              </a:lnTo>
              <a:lnTo>
                <a:pt x="8507730" y="5619750"/>
              </a:lnTo>
              <a:lnTo>
                <a:pt x="7181850" y="5734050"/>
              </a:lnTo>
              <a:lnTo>
                <a:pt x="7181850" y="5734050"/>
              </a:lnTo>
              <a:lnTo>
                <a:pt x="8562975" y="5848350"/>
              </a:lnTo>
              <a:lnTo>
                <a:pt x="7181850" y="5962650"/>
              </a:lnTo>
              <a:lnTo>
                <a:pt x="7181850" y="5962650"/>
              </a:lnTo>
              <a:lnTo>
                <a:pt x="8562975" y="6076950"/>
              </a:lnTo>
              <a:lnTo>
                <a:pt x="7181850" y="6191250"/>
              </a:lnTo>
              <a:lnTo>
                <a:pt x="7181850" y="6191250"/>
              </a:lnTo>
              <a:lnTo>
                <a:pt x="6905625" y="6305550"/>
              </a:lnTo>
              <a:lnTo>
                <a:pt x="7181850" y="6419850"/>
              </a:lnTo>
              <a:lnTo>
                <a:pt x="7181850" y="6877050"/>
              </a:lnTo>
              <a:lnTo>
                <a:pt x="6629400" y="6991350"/>
              </a:lnTo>
              <a:lnTo>
                <a:pt x="7181850" y="7105650"/>
              </a:lnTo>
              <a:lnTo>
                <a:pt x="7181850" y="7105650"/>
              </a:lnTo>
              <a:lnTo>
                <a:pt x="10082213" y="7219950"/>
              </a:lnTo>
              <a:lnTo>
                <a:pt x="7181850" y="7334250"/>
              </a:lnTo>
              <a:lnTo>
                <a:pt x="7181850" y="7334250"/>
              </a:lnTo>
              <a:lnTo>
                <a:pt x="8010525" y="7448550"/>
              </a:lnTo>
              <a:lnTo>
                <a:pt x="7181850" y="7562850"/>
              </a:lnTo>
              <a:lnTo>
                <a:pt x="7181850" y="7562850"/>
              </a:lnTo>
              <a:lnTo>
                <a:pt x="2596515" y="7677150"/>
              </a:lnTo>
              <a:lnTo>
                <a:pt x="7181850" y="7791450"/>
              </a:lnTo>
              <a:lnTo>
                <a:pt x="7181850" y="7791450"/>
              </a:lnTo>
              <a:lnTo>
                <a:pt x="6076950" y="7905750"/>
              </a:lnTo>
              <a:lnTo>
                <a:pt x="7181850" y="8020050"/>
              </a:lnTo>
              <a:lnTo>
                <a:pt x="7181850" y="8020050"/>
              </a:lnTo>
              <a:lnTo>
                <a:pt x="7181850" y="8134350"/>
              </a:lnTo>
              <a:lnTo>
                <a:pt x="7181850" y="8248650"/>
              </a:lnTo>
              <a:lnTo>
                <a:pt x="7181850" y="8248650"/>
              </a:lnTo>
              <a:lnTo>
                <a:pt x="0" y="8305800"/>
              </a:lnTo>
              <a:lnTo>
                <a:pt x="0" y="8420100"/>
              </a:lnTo>
              <a:lnTo>
                <a:pt x="7181850" y="8477250"/>
              </a:lnTo>
              <a:lnTo>
                <a:pt x="7181850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7181850" y="8705850"/>
              </a:lnTo>
              <a:lnTo>
                <a:pt x="7181850" y="8705850"/>
              </a:lnTo>
              <a:lnTo>
                <a:pt x="8562975" y="8820150"/>
              </a:lnTo>
              <a:lnTo>
                <a:pt x="7181850" y="8934450"/>
              </a:lnTo>
              <a:lnTo>
                <a:pt x="7181850" y="8934450"/>
              </a:lnTo>
              <a:lnTo>
                <a:pt x="9778364" y="9048750"/>
              </a:lnTo>
              <a:lnTo>
                <a:pt x="7181850" y="9163050"/>
              </a:lnTo>
              <a:lnTo>
                <a:pt x="7181850" y="9163050"/>
              </a:lnTo>
              <a:lnTo>
                <a:pt x="10386061" y="9277350"/>
              </a:lnTo>
              <a:lnTo>
                <a:pt x="7181850" y="9391650"/>
              </a:lnTo>
              <a:lnTo>
                <a:pt x="7181850" y="9391650"/>
              </a:lnTo>
              <a:lnTo>
                <a:pt x="6353175" y="9505950"/>
              </a:lnTo>
              <a:lnTo>
                <a:pt x="7181850" y="9620250"/>
              </a:lnTo>
              <a:lnTo>
                <a:pt x="7181850" y="9848850"/>
              </a:lnTo>
            </a:path>
          </a:pathLst>
        </a:custGeom>
        <a:ln w="25400" cap="rnd">
          <a:solidFill>
            <a:srgbClr val="FF0000"/>
          </a:solidFill>
          <a:prstDash val="solid"/>
          <a:bevel/>
          <a:headEnd type="diamond" w="med" len="med"/>
          <a:tailEnd type="diamond" w="med" len="med"/>
        </a:ln>
        <a:effec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74</xdr:col>
      <xdr:colOff>1</xdr:colOff>
      <xdr:row>50</xdr:row>
      <xdr:rowOff>1</xdr:rowOff>
    </xdr:to>
    <xdr:sp macro="" textlink="">
      <xdr:nvSpPr>
        <xdr:cNvPr id="25" name="History">
          <a:extLst>
            <a:ext uri="{FF2B5EF4-FFF2-40B4-BE49-F238E27FC236}">
              <a16:creationId xmlns:a16="http://schemas.microsoft.com/office/drawing/2014/main" id="{6E6DC0EF-4DAD-4A0F-AE27-3AAA59650A70}"/>
            </a:ext>
          </a:extLst>
        </xdr:cNvPr>
        <xdr:cNvSpPr/>
      </xdr:nvSpPr>
      <xdr:spPr>
        <a:xfrm>
          <a:off x="8839200" y="942975"/>
          <a:ext cx="16849726" cy="9848851"/>
        </a:xfrm>
        <a:custGeom>
          <a:avLst/>
          <a:gdLst/>
          <a:ahLst/>
          <a:cxnLst/>
          <a:rect l="0" t="0" r="0" b="0"/>
          <a:pathLst>
            <a:path w="16849726" h="9848851">
              <a:moveTo>
                <a:pt x="6905625" y="0"/>
              </a:moveTo>
              <a:lnTo>
                <a:pt x="6905625" y="523875"/>
              </a:lnTo>
              <a:lnTo>
                <a:pt x="6629400" y="728663"/>
              </a:lnTo>
              <a:lnTo>
                <a:pt x="6905625" y="933450"/>
              </a:ln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6849725" y="8534400"/>
              </a:lnTo>
              <a:lnTo>
                <a:pt x="16849725" y="864870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984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79</xdr:col>
      <xdr:colOff>1</xdr:colOff>
      <xdr:row>500</xdr:row>
      <xdr:rowOff>1</xdr:rowOff>
    </xdr:to>
    <xdr:sp macro="" textlink="">
      <xdr:nvSpPr>
        <xdr:cNvPr id="27" name="Report">
          <a:extLst>
            <a:ext uri="{FF2B5EF4-FFF2-40B4-BE49-F238E27FC236}">
              <a16:creationId xmlns:a16="http://schemas.microsoft.com/office/drawing/2014/main" id="{6C14C86F-998E-4B57-8944-45012086FFA2}"/>
            </a:ext>
          </a:extLst>
        </xdr:cNvPr>
        <xdr:cNvSpPr/>
      </xdr:nvSpPr>
      <xdr:spPr>
        <a:xfrm>
          <a:off x="8839200" y="942975"/>
          <a:ext cx="18230851" cy="112718851"/>
        </a:xfrm>
        <a:custGeom>
          <a:avLst/>
          <a:gdLst/>
          <a:ahLst/>
          <a:cxnLst/>
          <a:rect l="0" t="0" r="0" b="0"/>
          <a:pathLst>
            <a:path w="18230851" h="112718851">
              <a:moveTo>
                <a:pt x="7181850" y="0"/>
              </a:moveTo>
              <a:lnTo>
                <a:pt x="7181850" y="933450"/>
              </a:lnTo>
              <a:lnTo>
                <a:pt x="6905625" y="1047750"/>
              </a:lnTo>
              <a:lnTo>
                <a:pt x="7181850" y="1162050"/>
              </a:lnTo>
              <a:lnTo>
                <a:pt x="7181850" y="1162050"/>
              </a:lnTo>
              <a:lnTo>
                <a:pt x="4585336" y="1276350"/>
              </a:lnTo>
              <a:lnTo>
                <a:pt x="7181850" y="1390650"/>
              </a:lnTo>
              <a:lnTo>
                <a:pt x="7181850" y="1390650"/>
              </a:lnTo>
              <a:lnTo>
                <a:pt x="6684645" y="1504950"/>
              </a:lnTo>
              <a:lnTo>
                <a:pt x="7181850" y="1619250"/>
              </a:lnTo>
              <a:lnTo>
                <a:pt x="7181850" y="1619250"/>
              </a:lnTo>
              <a:lnTo>
                <a:pt x="939165" y="1733550"/>
              </a:lnTo>
              <a:lnTo>
                <a:pt x="7181850" y="1847850"/>
              </a:lnTo>
              <a:lnTo>
                <a:pt x="7181850" y="1847850"/>
              </a:lnTo>
              <a:lnTo>
                <a:pt x="8562975" y="1962150"/>
              </a:lnTo>
              <a:lnTo>
                <a:pt x="7181850" y="2076450"/>
              </a:lnTo>
              <a:lnTo>
                <a:pt x="7181850" y="2076450"/>
              </a:lnTo>
              <a:lnTo>
                <a:pt x="8562975" y="2190750"/>
              </a:lnTo>
              <a:lnTo>
                <a:pt x="7181850" y="2305050"/>
              </a:lnTo>
              <a:lnTo>
                <a:pt x="7181850" y="2305050"/>
              </a:lnTo>
              <a:lnTo>
                <a:pt x="8562975" y="2419350"/>
              </a:lnTo>
              <a:lnTo>
                <a:pt x="7181850" y="2533650"/>
              </a:lnTo>
              <a:lnTo>
                <a:pt x="7181850" y="2533650"/>
              </a:lnTo>
              <a:lnTo>
                <a:pt x="8562975" y="2647950"/>
              </a:lnTo>
              <a:lnTo>
                <a:pt x="7181850" y="2762250"/>
              </a:lnTo>
              <a:lnTo>
                <a:pt x="7181850" y="2762250"/>
              </a:lnTo>
              <a:lnTo>
                <a:pt x="8562975" y="2876550"/>
              </a:lnTo>
              <a:lnTo>
                <a:pt x="7181850" y="2990850"/>
              </a:lnTo>
              <a:lnTo>
                <a:pt x="7181850" y="2990850"/>
              </a:lnTo>
              <a:lnTo>
                <a:pt x="6905625" y="3105150"/>
              </a:lnTo>
              <a:lnTo>
                <a:pt x="7181850" y="3219450"/>
              </a:lnTo>
              <a:lnTo>
                <a:pt x="7181850" y="3219450"/>
              </a:lnTo>
              <a:lnTo>
                <a:pt x="6905625" y="3333750"/>
              </a:lnTo>
              <a:lnTo>
                <a:pt x="7181850" y="3448050"/>
              </a:lnTo>
              <a:lnTo>
                <a:pt x="7181850" y="3448050"/>
              </a:lnTo>
              <a:lnTo>
                <a:pt x="8286750" y="3562350"/>
              </a:lnTo>
              <a:lnTo>
                <a:pt x="7181850" y="3676650"/>
              </a:lnTo>
              <a:lnTo>
                <a:pt x="7181850" y="3676650"/>
              </a:lnTo>
              <a:lnTo>
                <a:pt x="6905625" y="3790950"/>
              </a:lnTo>
              <a:lnTo>
                <a:pt x="7181850" y="3905250"/>
              </a:lnTo>
              <a:lnTo>
                <a:pt x="7181850" y="3905250"/>
              </a:lnTo>
              <a:lnTo>
                <a:pt x="11822430" y="4019550"/>
              </a:lnTo>
              <a:lnTo>
                <a:pt x="7181850" y="4133850"/>
              </a:lnTo>
              <a:lnTo>
                <a:pt x="7181850" y="4133850"/>
              </a:lnTo>
              <a:lnTo>
                <a:pt x="6905625" y="4248150"/>
              </a:lnTo>
              <a:lnTo>
                <a:pt x="7181850" y="4362450"/>
              </a:lnTo>
              <a:lnTo>
                <a:pt x="7181850" y="4362450"/>
              </a:lnTo>
              <a:lnTo>
                <a:pt x="6076950" y="4476750"/>
              </a:lnTo>
              <a:lnTo>
                <a:pt x="7181850" y="4591050"/>
              </a:lnTo>
              <a:lnTo>
                <a:pt x="7181850" y="4591050"/>
              </a:lnTo>
              <a:lnTo>
                <a:pt x="12706350" y="4705350"/>
              </a:lnTo>
              <a:lnTo>
                <a:pt x="7181850" y="4819650"/>
              </a:lnTo>
              <a:lnTo>
                <a:pt x="7181850" y="4819650"/>
              </a:lnTo>
              <a:lnTo>
                <a:pt x="8562975" y="4933950"/>
              </a:lnTo>
              <a:lnTo>
                <a:pt x="7181850" y="5048250"/>
              </a:lnTo>
              <a:lnTo>
                <a:pt x="7181850" y="5048250"/>
              </a:lnTo>
              <a:lnTo>
                <a:pt x="10772775" y="5162550"/>
              </a:lnTo>
              <a:lnTo>
                <a:pt x="7181850" y="5276850"/>
              </a:lnTo>
              <a:lnTo>
                <a:pt x="7181850" y="5276850"/>
              </a:lnTo>
              <a:lnTo>
                <a:pt x="6905625" y="5391150"/>
              </a:lnTo>
              <a:lnTo>
                <a:pt x="7181850" y="5505450"/>
              </a:lnTo>
              <a:lnTo>
                <a:pt x="7181850" y="5505450"/>
              </a:lnTo>
              <a:lnTo>
                <a:pt x="8507730" y="5619750"/>
              </a:lnTo>
              <a:lnTo>
                <a:pt x="7181850" y="5734050"/>
              </a:lnTo>
              <a:lnTo>
                <a:pt x="7181850" y="5734050"/>
              </a:lnTo>
              <a:lnTo>
                <a:pt x="8562975" y="5848350"/>
              </a:lnTo>
              <a:lnTo>
                <a:pt x="7181850" y="5962650"/>
              </a:lnTo>
              <a:lnTo>
                <a:pt x="7181850" y="5962650"/>
              </a:lnTo>
              <a:lnTo>
                <a:pt x="8562975" y="6076950"/>
              </a:lnTo>
              <a:lnTo>
                <a:pt x="7181850" y="6191250"/>
              </a:lnTo>
              <a:lnTo>
                <a:pt x="7181850" y="6191250"/>
              </a:lnTo>
              <a:lnTo>
                <a:pt x="6905625" y="6305550"/>
              </a:lnTo>
              <a:lnTo>
                <a:pt x="7181850" y="6419850"/>
              </a:lnTo>
              <a:lnTo>
                <a:pt x="7181850" y="6877050"/>
              </a:lnTo>
              <a:lnTo>
                <a:pt x="6629400" y="6991350"/>
              </a:lnTo>
              <a:lnTo>
                <a:pt x="7181850" y="7105650"/>
              </a:lnTo>
              <a:lnTo>
                <a:pt x="7181850" y="7105650"/>
              </a:lnTo>
              <a:lnTo>
                <a:pt x="10082213" y="7219950"/>
              </a:lnTo>
              <a:lnTo>
                <a:pt x="7181850" y="7334250"/>
              </a:lnTo>
              <a:lnTo>
                <a:pt x="7181850" y="7334250"/>
              </a:lnTo>
              <a:lnTo>
                <a:pt x="8010525" y="7448550"/>
              </a:lnTo>
              <a:lnTo>
                <a:pt x="7181850" y="7562850"/>
              </a:lnTo>
              <a:lnTo>
                <a:pt x="7181850" y="7562850"/>
              </a:lnTo>
              <a:lnTo>
                <a:pt x="2596515" y="7677150"/>
              </a:lnTo>
              <a:lnTo>
                <a:pt x="7181850" y="7791450"/>
              </a:lnTo>
              <a:lnTo>
                <a:pt x="7181850" y="7791450"/>
              </a:lnTo>
              <a:lnTo>
                <a:pt x="6076950" y="7905750"/>
              </a:lnTo>
              <a:lnTo>
                <a:pt x="7181850" y="8020050"/>
              </a:lnTo>
              <a:lnTo>
                <a:pt x="7181850" y="8020050"/>
              </a:lnTo>
              <a:lnTo>
                <a:pt x="7181850" y="8134350"/>
              </a:lnTo>
              <a:lnTo>
                <a:pt x="7181850" y="8248650"/>
              </a:lnTo>
              <a:lnTo>
                <a:pt x="7181850" y="8248650"/>
              </a:lnTo>
              <a:lnTo>
                <a:pt x="0" y="8305800"/>
              </a:lnTo>
              <a:lnTo>
                <a:pt x="0" y="8420100"/>
              </a:lnTo>
              <a:lnTo>
                <a:pt x="7181850" y="8477250"/>
              </a:lnTo>
              <a:lnTo>
                <a:pt x="7181850" y="8477250"/>
              </a:lnTo>
              <a:lnTo>
                <a:pt x="18230850" y="8591550"/>
              </a:lnTo>
              <a:lnTo>
                <a:pt x="7181850" y="8705850"/>
              </a:lnTo>
              <a:lnTo>
                <a:pt x="7181850" y="8705850"/>
              </a:lnTo>
              <a:lnTo>
                <a:pt x="8562975" y="8820150"/>
              </a:lnTo>
              <a:lnTo>
                <a:pt x="7181850" y="8934450"/>
              </a:lnTo>
              <a:lnTo>
                <a:pt x="7181850" y="8934450"/>
              </a:lnTo>
              <a:lnTo>
                <a:pt x="9778364" y="9048750"/>
              </a:lnTo>
              <a:lnTo>
                <a:pt x="7181850" y="9163050"/>
              </a:lnTo>
              <a:lnTo>
                <a:pt x="7181850" y="9163050"/>
              </a:lnTo>
              <a:lnTo>
                <a:pt x="10386061" y="9277350"/>
              </a:lnTo>
              <a:lnTo>
                <a:pt x="7181850" y="9391650"/>
              </a:lnTo>
              <a:lnTo>
                <a:pt x="7181850" y="9391650"/>
              </a:lnTo>
              <a:lnTo>
                <a:pt x="6353175" y="9505950"/>
              </a:lnTo>
              <a:lnTo>
                <a:pt x="7181850" y="9620250"/>
              </a:lnTo>
              <a:lnTo>
                <a:pt x="7181850" y="10763250"/>
              </a:lnTo>
              <a:lnTo>
                <a:pt x="11822430" y="10877550"/>
              </a:lnTo>
              <a:lnTo>
                <a:pt x="7181850" y="10991850"/>
              </a:lnTo>
              <a:lnTo>
                <a:pt x="7181850" y="112718850"/>
              </a:lnTo>
            </a:path>
          </a:pathLst>
        </a:custGeom>
        <a:ln w="25400" cap="rnd">
          <a:solidFill>
            <a:srgbClr val="FF0000"/>
          </a:solidFill>
          <a:prstDash val="solid"/>
          <a:bevel/>
          <a:headEnd type="diamond" w="med" len="med"/>
          <a:tailEnd type="diamond" w="med" len="med"/>
        </a:ln>
        <a:effectLst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0</xdr:rowOff>
    </xdr:from>
    <xdr:to>
      <xdr:col>78</xdr:col>
      <xdr:colOff>1</xdr:colOff>
      <xdr:row>500</xdr:row>
      <xdr:rowOff>1</xdr:rowOff>
    </xdr:to>
    <xdr:sp macro="" textlink="">
      <xdr:nvSpPr>
        <xdr:cNvPr id="28" name="History">
          <a:extLst>
            <a:ext uri="{FF2B5EF4-FFF2-40B4-BE49-F238E27FC236}">
              <a16:creationId xmlns:a16="http://schemas.microsoft.com/office/drawing/2014/main" id="{D2389B1D-AE7D-461C-B7F3-3854D702076C}"/>
            </a:ext>
          </a:extLst>
        </xdr:cNvPr>
        <xdr:cNvSpPr/>
      </xdr:nvSpPr>
      <xdr:spPr>
        <a:xfrm>
          <a:off x="8839200" y="942975"/>
          <a:ext cx="17954626" cy="112718851"/>
        </a:xfrm>
        <a:custGeom>
          <a:avLst/>
          <a:gdLst/>
          <a:ahLst/>
          <a:cxnLst/>
          <a:rect l="0" t="0" r="0" b="0"/>
          <a:pathLst>
            <a:path w="17954626" h="112718851">
              <a:moveTo>
                <a:pt x="6905625" y="0"/>
              </a:moveTo>
              <a:lnTo>
                <a:pt x="6905625" y="1162050"/>
              </a:lnTo>
              <a:lnTo>
                <a:pt x="4419600" y="1276350"/>
              </a:lnTo>
              <a:lnTo>
                <a:pt x="6905625" y="1390650"/>
              </a:lnTo>
              <a:lnTo>
                <a:pt x="6905625" y="1390650"/>
              </a:lnTo>
              <a:lnTo>
                <a:pt x="6408420" y="1504950"/>
              </a:lnTo>
              <a:lnTo>
                <a:pt x="6905625" y="1619250"/>
              </a:lnTo>
              <a:lnTo>
                <a:pt x="6905625" y="1619250"/>
              </a:lnTo>
              <a:lnTo>
                <a:pt x="939165" y="1733550"/>
              </a:lnTo>
              <a:lnTo>
                <a:pt x="6905625" y="1847850"/>
              </a:lnTo>
              <a:lnTo>
                <a:pt x="6905625" y="1847850"/>
              </a:lnTo>
              <a:lnTo>
                <a:pt x="8286750" y="1962150"/>
              </a:lnTo>
              <a:lnTo>
                <a:pt x="6905625" y="2076450"/>
              </a:lnTo>
              <a:lnTo>
                <a:pt x="6905625" y="2076450"/>
              </a:lnTo>
              <a:lnTo>
                <a:pt x="8286750" y="2190750"/>
              </a:lnTo>
              <a:lnTo>
                <a:pt x="6905625" y="2305050"/>
              </a:lnTo>
              <a:lnTo>
                <a:pt x="6905625" y="2305050"/>
              </a:lnTo>
              <a:lnTo>
                <a:pt x="8286750" y="2419350"/>
              </a:lnTo>
              <a:lnTo>
                <a:pt x="6905625" y="2533650"/>
              </a:lnTo>
              <a:lnTo>
                <a:pt x="6905625" y="2533650"/>
              </a:lnTo>
              <a:lnTo>
                <a:pt x="8286750" y="2647950"/>
              </a:lnTo>
              <a:lnTo>
                <a:pt x="6905625" y="2762250"/>
              </a:lnTo>
              <a:lnTo>
                <a:pt x="6905625" y="2762250"/>
              </a:lnTo>
              <a:lnTo>
                <a:pt x="8286750" y="2876550"/>
              </a:lnTo>
              <a:lnTo>
                <a:pt x="6905625" y="2990850"/>
              </a:lnTo>
              <a:lnTo>
                <a:pt x="6905625" y="2990850"/>
              </a:lnTo>
              <a:lnTo>
                <a:pt x="6629400" y="3105150"/>
              </a:lnTo>
              <a:lnTo>
                <a:pt x="6905625" y="3219450"/>
              </a:lnTo>
              <a:lnTo>
                <a:pt x="6905625" y="3219450"/>
              </a:lnTo>
              <a:lnTo>
                <a:pt x="6629400" y="3333750"/>
              </a:lnTo>
              <a:lnTo>
                <a:pt x="6905625" y="3448050"/>
              </a:lnTo>
              <a:lnTo>
                <a:pt x="6905625" y="3448050"/>
              </a:lnTo>
              <a:lnTo>
                <a:pt x="8010525" y="3562350"/>
              </a:lnTo>
              <a:lnTo>
                <a:pt x="6905625" y="3676650"/>
              </a:lnTo>
              <a:lnTo>
                <a:pt x="6905625" y="3676650"/>
              </a:lnTo>
              <a:lnTo>
                <a:pt x="6629400" y="3790950"/>
              </a:lnTo>
              <a:lnTo>
                <a:pt x="6905625" y="3905250"/>
              </a:lnTo>
              <a:lnTo>
                <a:pt x="6905625" y="3905250"/>
              </a:lnTo>
              <a:lnTo>
                <a:pt x="10993755" y="4019550"/>
              </a:lnTo>
              <a:lnTo>
                <a:pt x="6905625" y="4133850"/>
              </a:lnTo>
              <a:lnTo>
                <a:pt x="6905625" y="4133850"/>
              </a:lnTo>
              <a:lnTo>
                <a:pt x="6629400" y="4248150"/>
              </a:lnTo>
              <a:lnTo>
                <a:pt x="6905625" y="4362450"/>
              </a:lnTo>
              <a:lnTo>
                <a:pt x="6905625" y="4362450"/>
              </a:lnTo>
              <a:lnTo>
                <a:pt x="5800725" y="4476750"/>
              </a:lnTo>
              <a:lnTo>
                <a:pt x="6905625" y="4591050"/>
              </a:lnTo>
              <a:lnTo>
                <a:pt x="6905625" y="4591050"/>
              </a:lnTo>
              <a:lnTo>
                <a:pt x="12430125" y="4705350"/>
              </a:lnTo>
              <a:lnTo>
                <a:pt x="6905625" y="4819650"/>
              </a:lnTo>
              <a:lnTo>
                <a:pt x="6905625" y="4819650"/>
              </a:lnTo>
              <a:lnTo>
                <a:pt x="8286750" y="4933950"/>
              </a:lnTo>
              <a:lnTo>
                <a:pt x="6905625" y="5048250"/>
              </a:lnTo>
              <a:lnTo>
                <a:pt x="6905625" y="5048250"/>
              </a:lnTo>
              <a:lnTo>
                <a:pt x="10496550" y="5162550"/>
              </a:lnTo>
              <a:lnTo>
                <a:pt x="6905625" y="5276850"/>
              </a:lnTo>
              <a:lnTo>
                <a:pt x="6905625" y="5276850"/>
              </a:lnTo>
              <a:lnTo>
                <a:pt x="6629400" y="5391150"/>
              </a:lnTo>
              <a:lnTo>
                <a:pt x="6905625" y="5505450"/>
              </a:lnTo>
              <a:lnTo>
                <a:pt x="6905625" y="5505450"/>
              </a:lnTo>
              <a:lnTo>
                <a:pt x="8231505" y="5619750"/>
              </a:lnTo>
              <a:lnTo>
                <a:pt x="6905625" y="5734050"/>
              </a:lnTo>
              <a:lnTo>
                <a:pt x="6905625" y="5734050"/>
              </a:lnTo>
              <a:lnTo>
                <a:pt x="8286750" y="5848350"/>
              </a:lnTo>
              <a:lnTo>
                <a:pt x="6905625" y="5962650"/>
              </a:lnTo>
              <a:lnTo>
                <a:pt x="6905625" y="5962650"/>
              </a:lnTo>
              <a:lnTo>
                <a:pt x="8286750" y="6076950"/>
              </a:lnTo>
              <a:lnTo>
                <a:pt x="6905625" y="6191250"/>
              </a:lnTo>
              <a:lnTo>
                <a:pt x="6905625" y="6191250"/>
              </a:lnTo>
              <a:lnTo>
                <a:pt x="6629400" y="6305550"/>
              </a:lnTo>
              <a:lnTo>
                <a:pt x="6905625" y="6419850"/>
              </a:lnTo>
              <a:lnTo>
                <a:pt x="6905625" y="6419850"/>
              </a:lnTo>
              <a:lnTo>
                <a:pt x="8286750" y="6534150"/>
              </a:lnTo>
              <a:lnTo>
                <a:pt x="6905625" y="6648450"/>
              </a:lnTo>
              <a:lnTo>
                <a:pt x="6905625" y="6877050"/>
              </a:lnTo>
              <a:lnTo>
                <a:pt x="6353175" y="6991350"/>
              </a:lnTo>
              <a:lnTo>
                <a:pt x="6905625" y="7105650"/>
              </a:lnTo>
              <a:lnTo>
                <a:pt x="6905625" y="7105650"/>
              </a:lnTo>
              <a:lnTo>
                <a:pt x="9805988" y="7219950"/>
              </a:lnTo>
              <a:lnTo>
                <a:pt x="6905625" y="7334250"/>
              </a:lnTo>
              <a:lnTo>
                <a:pt x="6905625" y="7334250"/>
              </a:lnTo>
              <a:lnTo>
                <a:pt x="7181850" y="7448550"/>
              </a:lnTo>
              <a:lnTo>
                <a:pt x="6905625" y="7562850"/>
              </a:lnTo>
              <a:lnTo>
                <a:pt x="6905625" y="7562850"/>
              </a:lnTo>
              <a:lnTo>
                <a:pt x="6629400" y="7677150"/>
              </a:lnTo>
              <a:lnTo>
                <a:pt x="6905625" y="7791450"/>
              </a:lnTo>
              <a:lnTo>
                <a:pt x="6905625" y="7791450"/>
              </a:lnTo>
              <a:lnTo>
                <a:pt x="6353175" y="7905750"/>
              </a:lnTo>
              <a:lnTo>
                <a:pt x="6905625" y="8020050"/>
              </a:lnTo>
              <a:lnTo>
                <a:pt x="6905625" y="8020050"/>
              </a:lnTo>
              <a:lnTo>
                <a:pt x="6905625" y="8134350"/>
              </a:lnTo>
              <a:lnTo>
                <a:pt x="6905625" y="8248650"/>
              </a:lnTo>
              <a:lnTo>
                <a:pt x="6905625" y="8248650"/>
              </a:lnTo>
              <a:lnTo>
                <a:pt x="0" y="8305800"/>
              </a:lnTo>
              <a:lnTo>
                <a:pt x="0" y="8420100"/>
              </a:lnTo>
              <a:lnTo>
                <a:pt x="6905625" y="8477250"/>
              </a:lnTo>
              <a:lnTo>
                <a:pt x="6905625" y="8477250"/>
              </a:lnTo>
              <a:lnTo>
                <a:pt x="17954625" y="8591550"/>
              </a:lnTo>
              <a:lnTo>
                <a:pt x="6905625" y="8705850"/>
              </a:lnTo>
              <a:lnTo>
                <a:pt x="6905625" y="8705850"/>
              </a:lnTo>
              <a:lnTo>
                <a:pt x="8286750" y="8820150"/>
              </a:lnTo>
              <a:lnTo>
                <a:pt x="6905625" y="8934450"/>
              </a:lnTo>
              <a:lnTo>
                <a:pt x="6905625" y="8934450"/>
              </a:lnTo>
              <a:lnTo>
                <a:pt x="8949689" y="9048750"/>
              </a:lnTo>
              <a:lnTo>
                <a:pt x="6905625" y="9163050"/>
              </a:lnTo>
              <a:lnTo>
                <a:pt x="6905625" y="9163050"/>
              </a:lnTo>
              <a:lnTo>
                <a:pt x="10165080" y="9277350"/>
              </a:lnTo>
              <a:lnTo>
                <a:pt x="6905625" y="9391650"/>
              </a:lnTo>
              <a:lnTo>
                <a:pt x="6905625" y="112718850"/>
              </a:lnTo>
            </a:path>
          </a:pathLst>
        </a:custGeom>
        <a:ln w="6350" cap="sq">
          <a:solidFill>
            <a:srgbClr val="C0C0C0"/>
          </a:solidFill>
          <a:prstDash val="sysDot"/>
          <a:bevel/>
          <a:headEnd type="diamond" w="med" len="med"/>
          <a:tailEnd type="diamond" w="med" len="med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8</xdr:row>
      <xdr:rowOff>0</xdr:rowOff>
    </xdr:to>
    <xdr:sp macro="[0]!CreateHolidayTable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628900" y="1200150"/>
          <a:ext cx="2628900" cy="400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休日テーブル作成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ple%20Excel%20Gantt%20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Simple Gantt Chart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0C0"/>
        </a:solidFill>
        <a:ln w="12700">
          <a:noFill/>
        </a:ln>
      </a:spPr>
      <a:bodyPr vertOverflow="clip" rtlCol="0" anchor="ctr"/>
      <a:lstStyle>
        <a:defPPr marL="0" indent="0" algn="ctr">
          <a:defRPr kumimoji="1" sz="1100">
            <a:solidFill>
              <a:schemeClr val="lt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I511"/>
  <sheetViews>
    <sheetView showGridLines="0" tabSelected="1" zoomScale="70" zoomScaleNormal="70" zoomScaleSheetLayoutView="7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14" sqref="L14:M14"/>
    </sheetView>
  </sheetViews>
  <sheetFormatPr defaultRowHeight="18.75" outlineLevelRow="1" outlineLevelCol="1" x14ac:dyDescent="0.4"/>
  <cols>
    <col min="1" max="1" width="3.875" style="18" bestFit="1" customWidth="1"/>
    <col min="2" max="2" width="5.125" style="14" bestFit="1" customWidth="1"/>
    <col min="3" max="3" width="10.125" style="14" bestFit="1" customWidth="1"/>
    <col min="4" max="5" width="9.875" style="14" bestFit="1" customWidth="1"/>
    <col min="6" max="6" width="14.5" style="14" customWidth="1" outlineLevel="1"/>
    <col min="7" max="9" width="9.375" style="14" customWidth="1" outlineLevel="1"/>
    <col min="10" max="13" width="8.625" style="14" customWidth="1" outlineLevel="1"/>
    <col min="14" max="21" width="3.625" style="14" customWidth="1"/>
    <col min="22" max="104" width="3.625" style="13" customWidth="1"/>
    <col min="105" max="16384" width="9" style="14"/>
  </cols>
  <sheetData>
    <row r="1" spans="1:113" x14ac:dyDescent="0.4">
      <c r="A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</row>
    <row r="2" spans="1:113" ht="30" x14ac:dyDescent="0.6">
      <c r="A2" s="14"/>
      <c r="B2" s="15" t="s">
        <v>48</v>
      </c>
      <c r="E2" s="21" t="s">
        <v>49</v>
      </c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</row>
    <row r="3" spans="1:113" ht="25.5" hidden="1" outlineLevel="1" x14ac:dyDescent="0.5">
      <c r="A3" s="14"/>
      <c r="B3" s="19"/>
      <c r="E3" s="22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</row>
    <row r="4" spans="1:113" ht="19.5" hidden="1" outlineLevel="1" x14ac:dyDescent="0.4">
      <c r="A4" s="14"/>
      <c r="B4" s="20" t="s">
        <v>50</v>
      </c>
      <c r="E4" s="23" t="s">
        <v>49</v>
      </c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</row>
    <row r="5" spans="1:113" ht="21" hidden="1" customHeight="1" outlineLevel="1" x14ac:dyDescent="0.4">
      <c r="A5" s="14"/>
      <c r="B5" s="20" t="s">
        <v>51</v>
      </c>
      <c r="C5" s="17"/>
      <c r="E5" s="23" t="s">
        <v>49</v>
      </c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</row>
    <row r="6" spans="1:113" ht="21" hidden="1" customHeight="1" outlineLevel="1" x14ac:dyDescent="0.4">
      <c r="A6" s="14"/>
      <c r="B6" s="20" t="s">
        <v>52</v>
      </c>
      <c r="C6" s="17"/>
      <c r="E6" s="23" t="s">
        <v>49</v>
      </c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</row>
    <row r="7" spans="1:113" ht="21" hidden="1" customHeight="1" outlineLevel="1" x14ac:dyDescent="0.4">
      <c r="A7" s="14"/>
      <c r="B7" s="16"/>
      <c r="C7" s="17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</row>
    <row r="8" spans="1:113" ht="25.5" customHeight="1" collapsed="1" x14ac:dyDescent="0.4">
      <c r="B8" s="65" t="s">
        <v>0</v>
      </c>
      <c r="C8" s="66" t="s">
        <v>36</v>
      </c>
      <c r="D8" s="66"/>
      <c r="E8" s="66"/>
      <c r="F8" s="67" t="s">
        <v>53</v>
      </c>
      <c r="G8" s="66" t="s">
        <v>42</v>
      </c>
      <c r="H8" s="66"/>
      <c r="I8" s="66"/>
      <c r="J8" s="69" t="s">
        <v>41</v>
      </c>
      <c r="K8" s="69"/>
      <c r="L8" s="69"/>
      <c r="M8" s="69"/>
      <c r="N8" s="58">
        <f ca="1">N9</f>
        <v>44256</v>
      </c>
      <c r="O8" s="58" t="str">
        <f ca="1">IF(DAY(O9)=1,O9,IF(DAY(O9)=2,"月",""))</f>
        <v>月</v>
      </c>
      <c r="P8" s="58" t="str">
        <f t="shared" ref="P8:CA8" ca="1" si="0">IF(DAY(P9)=1,P9,IF(DAY(P9)=2,"月",""))</f>
        <v/>
      </c>
      <c r="Q8" s="58" t="str">
        <f t="shared" ca="1" si="0"/>
        <v/>
      </c>
      <c r="R8" s="58" t="str">
        <f t="shared" ca="1" si="0"/>
        <v/>
      </c>
      <c r="S8" s="58" t="str">
        <f t="shared" ca="1" si="0"/>
        <v/>
      </c>
      <c r="T8" s="58" t="str">
        <f t="shared" ca="1" si="0"/>
        <v/>
      </c>
      <c r="U8" s="58" t="str">
        <f t="shared" ca="1" si="0"/>
        <v/>
      </c>
      <c r="V8" s="58" t="str">
        <f t="shared" ca="1" si="0"/>
        <v/>
      </c>
      <c r="W8" s="58" t="str">
        <f t="shared" ca="1" si="0"/>
        <v/>
      </c>
      <c r="X8" s="58" t="str">
        <f t="shared" ca="1" si="0"/>
        <v/>
      </c>
      <c r="Y8" s="58" t="str">
        <f t="shared" ca="1" si="0"/>
        <v/>
      </c>
      <c r="Z8" s="58" t="str">
        <f t="shared" ca="1" si="0"/>
        <v/>
      </c>
      <c r="AA8" s="58" t="str">
        <f t="shared" ca="1" si="0"/>
        <v/>
      </c>
      <c r="AB8" s="58" t="str">
        <f t="shared" ca="1" si="0"/>
        <v/>
      </c>
      <c r="AC8" s="58" t="str">
        <f t="shared" ca="1" si="0"/>
        <v/>
      </c>
      <c r="AD8" s="58" t="str">
        <f t="shared" ca="1" si="0"/>
        <v/>
      </c>
      <c r="AE8" s="58" t="str">
        <f t="shared" ca="1" si="0"/>
        <v/>
      </c>
      <c r="AF8" s="58" t="str">
        <f t="shared" ca="1" si="0"/>
        <v/>
      </c>
      <c r="AG8" s="58" t="str">
        <f t="shared" ca="1" si="0"/>
        <v/>
      </c>
      <c r="AH8" s="58" t="str">
        <f t="shared" ca="1" si="0"/>
        <v/>
      </c>
      <c r="AI8" s="58" t="str">
        <f t="shared" ca="1" si="0"/>
        <v/>
      </c>
      <c r="AJ8" s="58" t="str">
        <f t="shared" ca="1" si="0"/>
        <v/>
      </c>
      <c r="AK8" s="58" t="str">
        <f t="shared" ca="1" si="0"/>
        <v/>
      </c>
      <c r="AL8" s="58" t="str">
        <f t="shared" ca="1" si="0"/>
        <v/>
      </c>
      <c r="AM8" s="58" t="str">
        <f t="shared" ca="1" si="0"/>
        <v/>
      </c>
      <c r="AN8" s="58" t="str">
        <f t="shared" ca="1" si="0"/>
        <v/>
      </c>
      <c r="AO8" s="58" t="str">
        <f t="shared" ca="1" si="0"/>
        <v/>
      </c>
      <c r="AP8" s="58" t="str">
        <f t="shared" ca="1" si="0"/>
        <v/>
      </c>
      <c r="AQ8" s="58" t="str">
        <f t="shared" ca="1" si="0"/>
        <v/>
      </c>
      <c r="AR8" s="58" t="str">
        <f t="shared" ca="1" si="0"/>
        <v/>
      </c>
      <c r="AS8" s="58">
        <f t="shared" ca="1" si="0"/>
        <v>44287</v>
      </c>
      <c r="AT8" s="58" t="str">
        <f t="shared" ca="1" si="0"/>
        <v>月</v>
      </c>
      <c r="AU8" s="58" t="str">
        <f t="shared" ca="1" si="0"/>
        <v/>
      </c>
      <c r="AV8" s="58" t="str">
        <f t="shared" ca="1" si="0"/>
        <v/>
      </c>
      <c r="AW8" s="58" t="str">
        <f t="shared" ca="1" si="0"/>
        <v/>
      </c>
      <c r="AX8" s="58" t="str">
        <f t="shared" ca="1" si="0"/>
        <v/>
      </c>
      <c r="AY8" s="58" t="str">
        <f t="shared" ca="1" si="0"/>
        <v/>
      </c>
      <c r="AZ8" s="58" t="str">
        <f t="shared" ca="1" si="0"/>
        <v/>
      </c>
      <c r="BA8" s="58" t="str">
        <f t="shared" ca="1" si="0"/>
        <v/>
      </c>
      <c r="BB8" s="58" t="str">
        <f t="shared" ca="1" si="0"/>
        <v/>
      </c>
      <c r="BC8" s="58" t="str">
        <f t="shared" ca="1" si="0"/>
        <v/>
      </c>
      <c r="BD8" s="58" t="str">
        <f t="shared" ca="1" si="0"/>
        <v/>
      </c>
      <c r="BE8" s="58" t="str">
        <f t="shared" ca="1" si="0"/>
        <v/>
      </c>
      <c r="BF8" s="58" t="str">
        <f t="shared" ca="1" si="0"/>
        <v/>
      </c>
      <c r="BG8" s="58" t="str">
        <f t="shared" ca="1" si="0"/>
        <v/>
      </c>
      <c r="BH8" s="58" t="str">
        <f t="shared" ca="1" si="0"/>
        <v/>
      </c>
      <c r="BI8" s="58" t="str">
        <f t="shared" ca="1" si="0"/>
        <v/>
      </c>
      <c r="BJ8" s="58" t="str">
        <f t="shared" ca="1" si="0"/>
        <v/>
      </c>
      <c r="BK8" s="58" t="str">
        <f t="shared" ca="1" si="0"/>
        <v/>
      </c>
      <c r="BL8" s="58" t="str">
        <f t="shared" ca="1" si="0"/>
        <v/>
      </c>
      <c r="BM8" s="58" t="str">
        <f t="shared" ca="1" si="0"/>
        <v/>
      </c>
      <c r="BN8" s="58" t="str">
        <f t="shared" ca="1" si="0"/>
        <v/>
      </c>
      <c r="BO8" s="58" t="str">
        <f t="shared" ca="1" si="0"/>
        <v/>
      </c>
      <c r="BP8" s="58" t="str">
        <f t="shared" ca="1" si="0"/>
        <v/>
      </c>
      <c r="BQ8" s="58" t="str">
        <f t="shared" ca="1" si="0"/>
        <v/>
      </c>
      <c r="BR8" s="58" t="str">
        <f t="shared" ca="1" si="0"/>
        <v/>
      </c>
      <c r="BS8" s="58" t="str">
        <f t="shared" ca="1" si="0"/>
        <v/>
      </c>
      <c r="BT8" s="58" t="str">
        <f t="shared" ca="1" si="0"/>
        <v/>
      </c>
      <c r="BU8" s="58" t="str">
        <f t="shared" ca="1" si="0"/>
        <v/>
      </c>
      <c r="BV8" s="58" t="str">
        <f t="shared" ca="1" si="0"/>
        <v/>
      </c>
      <c r="BW8" s="58">
        <f t="shared" ca="1" si="0"/>
        <v>44317</v>
      </c>
      <c r="BX8" s="58" t="str">
        <f t="shared" ca="1" si="0"/>
        <v>月</v>
      </c>
      <c r="BY8" s="58" t="str">
        <f t="shared" ca="1" si="0"/>
        <v/>
      </c>
      <c r="BZ8" s="58" t="str">
        <f t="shared" ca="1" si="0"/>
        <v/>
      </c>
      <c r="CA8" s="58" t="str">
        <f t="shared" ca="1" si="0"/>
        <v/>
      </c>
      <c r="CB8" s="58" t="str">
        <f t="shared" ref="CB8:CZ8" ca="1" si="1">IF(DAY(CB9)=1,CB9,IF(DAY(CB9)=2,"月",""))</f>
        <v/>
      </c>
      <c r="CC8" s="58" t="str">
        <f t="shared" ca="1" si="1"/>
        <v/>
      </c>
      <c r="CD8" s="58" t="str">
        <f t="shared" ca="1" si="1"/>
        <v/>
      </c>
      <c r="CE8" s="58" t="str">
        <f t="shared" ca="1" si="1"/>
        <v/>
      </c>
      <c r="CF8" s="58" t="str">
        <f t="shared" ca="1" si="1"/>
        <v/>
      </c>
      <c r="CG8" s="58" t="str">
        <f t="shared" ca="1" si="1"/>
        <v/>
      </c>
      <c r="CH8" s="58" t="str">
        <f t="shared" ca="1" si="1"/>
        <v/>
      </c>
      <c r="CI8" s="58" t="str">
        <f t="shared" ca="1" si="1"/>
        <v/>
      </c>
      <c r="CJ8" s="58" t="str">
        <f t="shared" ca="1" si="1"/>
        <v/>
      </c>
      <c r="CK8" s="58" t="str">
        <f t="shared" ca="1" si="1"/>
        <v/>
      </c>
      <c r="CL8" s="58" t="str">
        <f t="shared" ca="1" si="1"/>
        <v/>
      </c>
      <c r="CM8" s="58" t="str">
        <f t="shared" ca="1" si="1"/>
        <v/>
      </c>
      <c r="CN8" s="58" t="str">
        <f t="shared" ca="1" si="1"/>
        <v/>
      </c>
      <c r="CO8" s="58" t="str">
        <f t="shared" ca="1" si="1"/>
        <v/>
      </c>
      <c r="CP8" s="58" t="str">
        <f t="shared" ca="1" si="1"/>
        <v/>
      </c>
      <c r="CQ8" s="58" t="str">
        <f t="shared" ca="1" si="1"/>
        <v/>
      </c>
      <c r="CR8" s="58" t="str">
        <f t="shared" ca="1" si="1"/>
        <v/>
      </c>
      <c r="CS8" s="58" t="str">
        <f t="shared" ca="1" si="1"/>
        <v/>
      </c>
      <c r="CT8" s="58" t="str">
        <f t="shared" ca="1" si="1"/>
        <v/>
      </c>
      <c r="CU8" s="58" t="str">
        <f t="shared" ca="1" si="1"/>
        <v/>
      </c>
      <c r="CV8" s="58" t="str">
        <f t="shared" ca="1" si="1"/>
        <v/>
      </c>
      <c r="CW8" s="58" t="str">
        <f t="shared" ca="1" si="1"/>
        <v/>
      </c>
      <c r="CX8" s="58" t="str">
        <f t="shared" ca="1" si="1"/>
        <v/>
      </c>
      <c r="CY8" s="58" t="str">
        <f t="shared" ca="1" si="1"/>
        <v/>
      </c>
      <c r="CZ8" s="58" t="str">
        <f t="shared" ca="1" si="1"/>
        <v/>
      </c>
    </row>
    <row r="9" spans="1:113" ht="17.25" customHeight="1" x14ac:dyDescent="0.4">
      <c r="B9" s="65"/>
      <c r="C9" s="70" t="s">
        <v>43</v>
      </c>
      <c r="D9" s="70" t="s">
        <v>44</v>
      </c>
      <c r="E9" s="70" t="s">
        <v>45</v>
      </c>
      <c r="F9" s="67"/>
      <c r="G9" s="72" t="s">
        <v>46</v>
      </c>
      <c r="H9" s="72" t="s">
        <v>38</v>
      </c>
      <c r="I9" s="72" t="s">
        <v>47</v>
      </c>
      <c r="J9" s="71" t="s">
        <v>37</v>
      </c>
      <c r="K9" s="71"/>
      <c r="L9" s="71" t="s">
        <v>38</v>
      </c>
      <c r="M9" s="71"/>
      <c r="N9" s="59">
        <f ca="1">TODAY()-25</f>
        <v>44256</v>
      </c>
      <c r="O9" s="59">
        <f ca="1">N9+1</f>
        <v>44257</v>
      </c>
      <c r="P9" s="59">
        <f t="shared" ref="P9:CA9" ca="1" si="2">O9+1</f>
        <v>44258</v>
      </c>
      <c r="Q9" s="59">
        <f t="shared" ca="1" si="2"/>
        <v>44259</v>
      </c>
      <c r="R9" s="59">
        <f t="shared" ca="1" si="2"/>
        <v>44260</v>
      </c>
      <c r="S9" s="59">
        <f t="shared" ca="1" si="2"/>
        <v>44261</v>
      </c>
      <c r="T9" s="59">
        <f t="shared" ca="1" si="2"/>
        <v>44262</v>
      </c>
      <c r="U9" s="59">
        <f t="shared" ca="1" si="2"/>
        <v>44263</v>
      </c>
      <c r="V9" s="59">
        <f t="shared" ca="1" si="2"/>
        <v>44264</v>
      </c>
      <c r="W9" s="59">
        <f t="shared" ca="1" si="2"/>
        <v>44265</v>
      </c>
      <c r="X9" s="59">
        <f t="shared" ca="1" si="2"/>
        <v>44266</v>
      </c>
      <c r="Y9" s="59">
        <f t="shared" ca="1" si="2"/>
        <v>44267</v>
      </c>
      <c r="Z9" s="59">
        <f t="shared" ca="1" si="2"/>
        <v>44268</v>
      </c>
      <c r="AA9" s="59">
        <f t="shared" ca="1" si="2"/>
        <v>44269</v>
      </c>
      <c r="AB9" s="59">
        <f t="shared" ca="1" si="2"/>
        <v>44270</v>
      </c>
      <c r="AC9" s="59">
        <f t="shared" ca="1" si="2"/>
        <v>44271</v>
      </c>
      <c r="AD9" s="59">
        <f t="shared" ca="1" si="2"/>
        <v>44272</v>
      </c>
      <c r="AE9" s="59">
        <f t="shared" ca="1" si="2"/>
        <v>44273</v>
      </c>
      <c r="AF9" s="59">
        <f t="shared" ca="1" si="2"/>
        <v>44274</v>
      </c>
      <c r="AG9" s="59">
        <f t="shared" ca="1" si="2"/>
        <v>44275</v>
      </c>
      <c r="AH9" s="59">
        <f t="shared" ca="1" si="2"/>
        <v>44276</v>
      </c>
      <c r="AI9" s="59">
        <f t="shared" ca="1" si="2"/>
        <v>44277</v>
      </c>
      <c r="AJ9" s="59">
        <f t="shared" ca="1" si="2"/>
        <v>44278</v>
      </c>
      <c r="AK9" s="59">
        <f t="shared" ca="1" si="2"/>
        <v>44279</v>
      </c>
      <c r="AL9" s="59">
        <f t="shared" ca="1" si="2"/>
        <v>44280</v>
      </c>
      <c r="AM9" s="59">
        <f t="shared" ca="1" si="2"/>
        <v>44281</v>
      </c>
      <c r="AN9" s="59">
        <f t="shared" ca="1" si="2"/>
        <v>44282</v>
      </c>
      <c r="AO9" s="59">
        <f t="shared" ca="1" si="2"/>
        <v>44283</v>
      </c>
      <c r="AP9" s="59">
        <f t="shared" ca="1" si="2"/>
        <v>44284</v>
      </c>
      <c r="AQ9" s="59">
        <f t="shared" ca="1" si="2"/>
        <v>44285</v>
      </c>
      <c r="AR9" s="59">
        <f t="shared" ca="1" si="2"/>
        <v>44286</v>
      </c>
      <c r="AS9" s="59">
        <f t="shared" ca="1" si="2"/>
        <v>44287</v>
      </c>
      <c r="AT9" s="59">
        <f t="shared" ca="1" si="2"/>
        <v>44288</v>
      </c>
      <c r="AU9" s="59">
        <f t="shared" ca="1" si="2"/>
        <v>44289</v>
      </c>
      <c r="AV9" s="59">
        <f t="shared" ca="1" si="2"/>
        <v>44290</v>
      </c>
      <c r="AW9" s="59">
        <f t="shared" ca="1" si="2"/>
        <v>44291</v>
      </c>
      <c r="AX9" s="59">
        <f t="shared" ca="1" si="2"/>
        <v>44292</v>
      </c>
      <c r="AY9" s="59">
        <f t="shared" ca="1" si="2"/>
        <v>44293</v>
      </c>
      <c r="AZ9" s="59">
        <f t="shared" ca="1" si="2"/>
        <v>44294</v>
      </c>
      <c r="BA9" s="59">
        <f t="shared" ca="1" si="2"/>
        <v>44295</v>
      </c>
      <c r="BB9" s="59">
        <f t="shared" ca="1" si="2"/>
        <v>44296</v>
      </c>
      <c r="BC9" s="59">
        <f t="shared" ca="1" si="2"/>
        <v>44297</v>
      </c>
      <c r="BD9" s="59">
        <f t="shared" ca="1" si="2"/>
        <v>44298</v>
      </c>
      <c r="BE9" s="59">
        <f t="shared" ca="1" si="2"/>
        <v>44299</v>
      </c>
      <c r="BF9" s="59">
        <f t="shared" ca="1" si="2"/>
        <v>44300</v>
      </c>
      <c r="BG9" s="59">
        <f t="shared" ca="1" si="2"/>
        <v>44301</v>
      </c>
      <c r="BH9" s="59">
        <f t="shared" ca="1" si="2"/>
        <v>44302</v>
      </c>
      <c r="BI9" s="59">
        <f t="shared" ca="1" si="2"/>
        <v>44303</v>
      </c>
      <c r="BJ9" s="59">
        <f t="shared" ca="1" si="2"/>
        <v>44304</v>
      </c>
      <c r="BK9" s="59">
        <f t="shared" ca="1" si="2"/>
        <v>44305</v>
      </c>
      <c r="BL9" s="59">
        <f t="shared" ca="1" si="2"/>
        <v>44306</v>
      </c>
      <c r="BM9" s="59">
        <f t="shared" ca="1" si="2"/>
        <v>44307</v>
      </c>
      <c r="BN9" s="59">
        <f t="shared" ca="1" si="2"/>
        <v>44308</v>
      </c>
      <c r="BO9" s="59">
        <f t="shared" ca="1" si="2"/>
        <v>44309</v>
      </c>
      <c r="BP9" s="59">
        <f t="shared" ca="1" si="2"/>
        <v>44310</v>
      </c>
      <c r="BQ9" s="59">
        <f t="shared" ca="1" si="2"/>
        <v>44311</v>
      </c>
      <c r="BR9" s="59">
        <f t="shared" ca="1" si="2"/>
        <v>44312</v>
      </c>
      <c r="BS9" s="59">
        <f t="shared" ca="1" si="2"/>
        <v>44313</v>
      </c>
      <c r="BT9" s="59">
        <f t="shared" ca="1" si="2"/>
        <v>44314</v>
      </c>
      <c r="BU9" s="59">
        <f t="shared" ca="1" si="2"/>
        <v>44315</v>
      </c>
      <c r="BV9" s="59">
        <f t="shared" ca="1" si="2"/>
        <v>44316</v>
      </c>
      <c r="BW9" s="59">
        <f t="shared" ca="1" si="2"/>
        <v>44317</v>
      </c>
      <c r="BX9" s="59">
        <f t="shared" ca="1" si="2"/>
        <v>44318</v>
      </c>
      <c r="BY9" s="59">
        <f t="shared" ca="1" si="2"/>
        <v>44319</v>
      </c>
      <c r="BZ9" s="59">
        <f t="shared" ca="1" si="2"/>
        <v>44320</v>
      </c>
      <c r="CA9" s="59">
        <f t="shared" ca="1" si="2"/>
        <v>44321</v>
      </c>
      <c r="CB9" s="59">
        <f t="shared" ref="CB9:CZ9" ca="1" si="3">CA9+1</f>
        <v>44322</v>
      </c>
      <c r="CC9" s="59">
        <f t="shared" ca="1" si="3"/>
        <v>44323</v>
      </c>
      <c r="CD9" s="59">
        <f t="shared" ca="1" si="3"/>
        <v>44324</v>
      </c>
      <c r="CE9" s="59">
        <f t="shared" ca="1" si="3"/>
        <v>44325</v>
      </c>
      <c r="CF9" s="59">
        <f t="shared" ca="1" si="3"/>
        <v>44326</v>
      </c>
      <c r="CG9" s="59">
        <f t="shared" ca="1" si="3"/>
        <v>44327</v>
      </c>
      <c r="CH9" s="59">
        <f t="shared" ca="1" si="3"/>
        <v>44328</v>
      </c>
      <c r="CI9" s="59">
        <f t="shared" ca="1" si="3"/>
        <v>44329</v>
      </c>
      <c r="CJ9" s="59">
        <f t="shared" ca="1" si="3"/>
        <v>44330</v>
      </c>
      <c r="CK9" s="59">
        <f t="shared" ca="1" si="3"/>
        <v>44331</v>
      </c>
      <c r="CL9" s="59">
        <f t="shared" ca="1" si="3"/>
        <v>44332</v>
      </c>
      <c r="CM9" s="59">
        <f t="shared" ca="1" si="3"/>
        <v>44333</v>
      </c>
      <c r="CN9" s="59">
        <f t="shared" ca="1" si="3"/>
        <v>44334</v>
      </c>
      <c r="CO9" s="59">
        <f t="shared" ca="1" si="3"/>
        <v>44335</v>
      </c>
      <c r="CP9" s="59">
        <f t="shared" ca="1" si="3"/>
        <v>44336</v>
      </c>
      <c r="CQ9" s="59">
        <f t="shared" ca="1" si="3"/>
        <v>44337</v>
      </c>
      <c r="CR9" s="59">
        <f t="shared" ca="1" si="3"/>
        <v>44338</v>
      </c>
      <c r="CS9" s="59">
        <f t="shared" ca="1" si="3"/>
        <v>44339</v>
      </c>
      <c r="CT9" s="59">
        <f t="shared" ca="1" si="3"/>
        <v>44340</v>
      </c>
      <c r="CU9" s="59">
        <f t="shared" ca="1" si="3"/>
        <v>44341</v>
      </c>
      <c r="CV9" s="59">
        <f t="shared" ca="1" si="3"/>
        <v>44342</v>
      </c>
      <c r="CW9" s="59">
        <f t="shared" ca="1" si="3"/>
        <v>44343</v>
      </c>
      <c r="CX9" s="59">
        <f t="shared" ca="1" si="3"/>
        <v>44344</v>
      </c>
      <c r="CY9" s="59">
        <f t="shared" ca="1" si="3"/>
        <v>44345</v>
      </c>
      <c r="CZ9" s="59">
        <f t="shared" ca="1" si="3"/>
        <v>44346</v>
      </c>
    </row>
    <row r="10" spans="1:113" ht="24" customHeight="1" x14ac:dyDescent="0.4">
      <c r="B10" s="65"/>
      <c r="C10" s="70"/>
      <c r="D10" s="70"/>
      <c r="E10" s="70"/>
      <c r="F10" s="67"/>
      <c r="G10" s="72"/>
      <c r="H10" s="72"/>
      <c r="I10" s="72"/>
      <c r="J10" s="24" t="s">
        <v>39</v>
      </c>
      <c r="K10" s="24" t="s">
        <v>40</v>
      </c>
      <c r="L10" s="24" t="s">
        <v>39</v>
      </c>
      <c r="M10" s="24" t="s">
        <v>40</v>
      </c>
      <c r="N10" s="25">
        <f ca="1">N9</f>
        <v>44256</v>
      </c>
      <c r="O10" s="26">
        <f t="shared" ref="O10:BZ10" ca="1" si="4">O9</f>
        <v>44257</v>
      </c>
      <c r="P10" s="26">
        <f t="shared" ca="1" si="4"/>
        <v>44258</v>
      </c>
      <c r="Q10" s="26">
        <f t="shared" ca="1" si="4"/>
        <v>44259</v>
      </c>
      <c r="R10" s="26">
        <f t="shared" ca="1" si="4"/>
        <v>44260</v>
      </c>
      <c r="S10" s="26">
        <f t="shared" ca="1" si="4"/>
        <v>44261</v>
      </c>
      <c r="T10" s="26">
        <f t="shared" ca="1" si="4"/>
        <v>44262</v>
      </c>
      <c r="U10" s="26">
        <f t="shared" ca="1" si="4"/>
        <v>44263</v>
      </c>
      <c r="V10" s="26">
        <f t="shared" ca="1" si="4"/>
        <v>44264</v>
      </c>
      <c r="W10" s="26">
        <f t="shared" ca="1" si="4"/>
        <v>44265</v>
      </c>
      <c r="X10" s="26">
        <f t="shared" ca="1" si="4"/>
        <v>44266</v>
      </c>
      <c r="Y10" s="26">
        <f t="shared" ca="1" si="4"/>
        <v>44267</v>
      </c>
      <c r="Z10" s="26">
        <f t="shared" ca="1" si="4"/>
        <v>44268</v>
      </c>
      <c r="AA10" s="26">
        <f t="shared" ca="1" si="4"/>
        <v>44269</v>
      </c>
      <c r="AB10" s="26">
        <f t="shared" ca="1" si="4"/>
        <v>44270</v>
      </c>
      <c r="AC10" s="26">
        <f t="shared" ca="1" si="4"/>
        <v>44271</v>
      </c>
      <c r="AD10" s="26">
        <f t="shared" ca="1" si="4"/>
        <v>44272</v>
      </c>
      <c r="AE10" s="26">
        <f t="shared" ca="1" si="4"/>
        <v>44273</v>
      </c>
      <c r="AF10" s="26">
        <f t="shared" ca="1" si="4"/>
        <v>44274</v>
      </c>
      <c r="AG10" s="26">
        <f t="shared" ca="1" si="4"/>
        <v>44275</v>
      </c>
      <c r="AH10" s="26">
        <f t="shared" ca="1" si="4"/>
        <v>44276</v>
      </c>
      <c r="AI10" s="26">
        <f t="shared" ca="1" si="4"/>
        <v>44277</v>
      </c>
      <c r="AJ10" s="26">
        <f t="shared" ca="1" si="4"/>
        <v>44278</v>
      </c>
      <c r="AK10" s="26">
        <f t="shared" ca="1" si="4"/>
        <v>44279</v>
      </c>
      <c r="AL10" s="26">
        <f t="shared" ca="1" si="4"/>
        <v>44280</v>
      </c>
      <c r="AM10" s="26">
        <f t="shared" ca="1" si="4"/>
        <v>44281</v>
      </c>
      <c r="AN10" s="26">
        <f t="shared" ca="1" si="4"/>
        <v>44282</v>
      </c>
      <c r="AO10" s="26">
        <f t="shared" ca="1" si="4"/>
        <v>44283</v>
      </c>
      <c r="AP10" s="26">
        <f t="shared" ca="1" si="4"/>
        <v>44284</v>
      </c>
      <c r="AQ10" s="26">
        <f t="shared" ca="1" si="4"/>
        <v>44285</v>
      </c>
      <c r="AR10" s="26">
        <f t="shared" ca="1" si="4"/>
        <v>44286</v>
      </c>
      <c r="AS10" s="26">
        <f t="shared" ca="1" si="4"/>
        <v>44287</v>
      </c>
      <c r="AT10" s="26">
        <f t="shared" ca="1" si="4"/>
        <v>44288</v>
      </c>
      <c r="AU10" s="26">
        <f t="shared" ca="1" si="4"/>
        <v>44289</v>
      </c>
      <c r="AV10" s="26">
        <f t="shared" ca="1" si="4"/>
        <v>44290</v>
      </c>
      <c r="AW10" s="26">
        <f t="shared" ca="1" si="4"/>
        <v>44291</v>
      </c>
      <c r="AX10" s="26">
        <f t="shared" ca="1" si="4"/>
        <v>44292</v>
      </c>
      <c r="AY10" s="26">
        <f t="shared" ca="1" si="4"/>
        <v>44293</v>
      </c>
      <c r="AZ10" s="26">
        <f t="shared" ca="1" si="4"/>
        <v>44294</v>
      </c>
      <c r="BA10" s="26">
        <f t="shared" ca="1" si="4"/>
        <v>44295</v>
      </c>
      <c r="BB10" s="26">
        <f t="shared" ca="1" si="4"/>
        <v>44296</v>
      </c>
      <c r="BC10" s="26">
        <f t="shared" ca="1" si="4"/>
        <v>44297</v>
      </c>
      <c r="BD10" s="26">
        <f t="shared" ca="1" si="4"/>
        <v>44298</v>
      </c>
      <c r="BE10" s="26">
        <f t="shared" ca="1" si="4"/>
        <v>44299</v>
      </c>
      <c r="BF10" s="26">
        <f t="shared" ca="1" si="4"/>
        <v>44300</v>
      </c>
      <c r="BG10" s="26">
        <f t="shared" ca="1" si="4"/>
        <v>44301</v>
      </c>
      <c r="BH10" s="26">
        <f t="shared" ca="1" si="4"/>
        <v>44302</v>
      </c>
      <c r="BI10" s="26">
        <f t="shared" ca="1" si="4"/>
        <v>44303</v>
      </c>
      <c r="BJ10" s="26">
        <f t="shared" ca="1" si="4"/>
        <v>44304</v>
      </c>
      <c r="BK10" s="26">
        <f t="shared" ca="1" si="4"/>
        <v>44305</v>
      </c>
      <c r="BL10" s="26">
        <f t="shared" ca="1" si="4"/>
        <v>44306</v>
      </c>
      <c r="BM10" s="26">
        <f t="shared" ca="1" si="4"/>
        <v>44307</v>
      </c>
      <c r="BN10" s="26">
        <f t="shared" ca="1" si="4"/>
        <v>44308</v>
      </c>
      <c r="BO10" s="26">
        <f t="shared" ca="1" si="4"/>
        <v>44309</v>
      </c>
      <c r="BP10" s="26">
        <f t="shared" ca="1" si="4"/>
        <v>44310</v>
      </c>
      <c r="BQ10" s="26">
        <f t="shared" ca="1" si="4"/>
        <v>44311</v>
      </c>
      <c r="BR10" s="26">
        <f t="shared" ca="1" si="4"/>
        <v>44312</v>
      </c>
      <c r="BS10" s="26">
        <f t="shared" ca="1" si="4"/>
        <v>44313</v>
      </c>
      <c r="BT10" s="26">
        <f t="shared" ca="1" si="4"/>
        <v>44314</v>
      </c>
      <c r="BU10" s="26">
        <f t="shared" ca="1" si="4"/>
        <v>44315</v>
      </c>
      <c r="BV10" s="26">
        <f t="shared" ca="1" si="4"/>
        <v>44316</v>
      </c>
      <c r="BW10" s="26">
        <f t="shared" ca="1" si="4"/>
        <v>44317</v>
      </c>
      <c r="BX10" s="26">
        <f t="shared" ca="1" si="4"/>
        <v>44318</v>
      </c>
      <c r="BY10" s="26">
        <f t="shared" ca="1" si="4"/>
        <v>44319</v>
      </c>
      <c r="BZ10" s="26">
        <f t="shared" ca="1" si="4"/>
        <v>44320</v>
      </c>
      <c r="CA10" s="26">
        <f t="shared" ref="CA10:CZ10" ca="1" si="5">CA9</f>
        <v>44321</v>
      </c>
      <c r="CB10" s="26">
        <f t="shared" ca="1" si="5"/>
        <v>44322</v>
      </c>
      <c r="CC10" s="26">
        <f t="shared" ca="1" si="5"/>
        <v>44323</v>
      </c>
      <c r="CD10" s="26">
        <f t="shared" ca="1" si="5"/>
        <v>44324</v>
      </c>
      <c r="CE10" s="26">
        <f t="shared" ca="1" si="5"/>
        <v>44325</v>
      </c>
      <c r="CF10" s="26">
        <f t="shared" ca="1" si="5"/>
        <v>44326</v>
      </c>
      <c r="CG10" s="26">
        <f t="shared" ca="1" si="5"/>
        <v>44327</v>
      </c>
      <c r="CH10" s="26">
        <f t="shared" ca="1" si="5"/>
        <v>44328</v>
      </c>
      <c r="CI10" s="26">
        <f t="shared" ca="1" si="5"/>
        <v>44329</v>
      </c>
      <c r="CJ10" s="26">
        <f t="shared" ca="1" si="5"/>
        <v>44330</v>
      </c>
      <c r="CK10" s="26">
        <f t="shared" ca="1" si="5"/>
        <v>44331</v>
      </c>
      <c r="CL10" s="26">
        <f t="shared" ca="1" si="5"/>
        <v>44332</v>
      </c>
      <c r="CM10" s="26">
        <f t="shared" ca="1" si="5"/>
        <v>44333</v>
      </c>
      <c r="CN10" s="26">
        <f t="shared" ca="1" si="5"/>
        <v>44334</v>
      </c>
      <c r="CO10" s="26">
        <f t="shared" ca="1" si="5"/>
        <v>44335</v>
      </c>
      <c r="CP10" s="26">
        <f t="shared" ca="1" si="5"/>
        <v>44336</v>
      </c>
      <c r="CQ10" s="26">
        <f t="shared" ca="1" si="5"/>
        <v>44337</v>
      </c>
      <c r="CR10" s="26">
        <f t="shared" ca="1" si="5"/>
        <v>44338</v>
      </c>
      <c r="CS10" s="26">
        <f t="shared" ca="1" si="5"/>
        <v>44339</v>
      </c>
      <c r="CT10" s="26">
        <f t="shared" ca="1" si="5"/>
        <v>44340</v>
      </c>
      <c r="CU10" s="26">
        <f t="shared" ca="1" si="5"/>
        <v>44341</v>
      </c>
      <c r="CV10" s="26">
        <f t="shared" ca="1" si="5"/>
        <v>44342</v>
      </c>
      <c r="CW10" s="26">
        <f t="shared" ca="1" si="5"/>
        <v>44343</v>
      </c>
      <c r="CX10" s="26">
        <f t="shared" ca="1" si="5"/>
        <v>44344</v>
      </c>
      <c r="CY10" s="26">
        <f t="shared" ca="1" si="5"/>
        <v>44345</v>
      </c>
      <c r="CZ10" s="26">
        <f t="shared" ca="1" si="5"/>
        <v>44346</v>
      </c>
    </row>
    <row r="11" spans="1:113" s="64" customFormat="1" ht="32.25" customHeight="1" x14ac:dyDescent="0.4">
      <c r="A11" s="18"/>
      <c r="B11" s="60">
        <v>0</v>
      </c>
      <c r="C11" s="68" t="s">
        <v>100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44"/>
      <c r="O11" s="44"/>
      <c r="P11" s="44"/>
      <c r="Q11" s="44"/>
      <c r="R11" s="61"/>
      <c r="S11" s="61" t="s">
        <v>54</v>
      </c>
      <c r="T11" s="61"/>
      <c r="U11" s="61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53"/>
      <c r="CZ11" s="53"/>
      <c r="DA11" s="63"/>
      <c r="DB11" s="63"/>
      <c r="DC11" s="63"/>
      <c r="DD11" s="63"/>
      <c r="DE11" s="63"/>
      <c r="DF11" s="63"/>
      <c r="DG11" s="63"/>
      <c r="DH11" s="63"/>
      <c r="DI11" s="63"/>
    </row>
    <row r="12" spans="1:113" ht="18" customHeight="1" x14ac:dyDescent="0.4">
      <c r="B12" s="27">
        <f>ROW()-11</f>
        <v>1</v>
      </c>
      <c r="C12" s="28" t="s">
        <v>55</v>
      </c>
      <c r="D12" s="28"/>
      <c r="E12" s="29" t="s">
        <v>56</v>
      </c>
      <c r="F12" s="30"/>
      <c r="G12" s="31">
        <v>5</v>
      </c>
      <c r="H12" s="31">
        <v>1</v>
      </c>
      <c r="I12" s="32">
        <v>0.2</v>
      </c>
      <c r="J12" s="33">
        <v>44256</v>
      </c>
      <c r="K12" s="33">
        <v>44316</v>
      </c>
      <c r="L12" s="34"/>
      <c r="M12" s="34"/>
      <c r="N12" s="35"/>
      <c r="O12" s="35"/>
      <c r="P12" s="35"/>
      <c r="Q12" s="35"/>
      <c r="R12" s="36"/>
      <c r="S12" s="36"/>
      <c r="T12" s="36"/>
      <c r="U12" s="36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8"/>
      <c r="CZ12" s="38"/>
      <c r="DA12" s="13"/>
      <c r="DB12" s="13"/>
      <c r="DC12" s="13"/>
      <c r="DD12" s="13"/>
      <c r="DE12" s="13"/>
      <c r="DF12" s="13"/>
      <c r="DG12" s="13"/>
      <c r="DH12" s="13"/>
      <c r="DI12" s="13"/>
    </row>
    <row r="13" spans="1:113" ht="18" customHeight="1" x14ac:dyDescent="0.4">
      <c r="B13" s="27">
        <f t="shared" ref="B13:B76" si="6">ROW()-11</f>
        <v>2</v>
      </c>
      <c r="C13" s="28"/>
      <c r="D13" s="28"/>
      <c r="E13" s="29" t="s">
        <v>57</v>
      </c>
      <c r="F13" s="30"/>
      <c r="G13" s="31">
        <v>5</v>
      </c>
      <c r="H13" s="39">
        <v>2</v>
      </c>
      <c r="I13" s="32">
        <f t="shared" ref="I13:I23" si="7">IF(G13&gt;0,H13/G13,"")</f>
        <v>0.4</v>
      </c>
      <c r="J13" s="33">
        <f ca="1">TODAY()-10</f>
        <v>44271</v>
      </c>
      <c r="K13" s="33">
        <f ca="1">TODAY()-5</f>
        <v>44276</v>
      </c>
      <c r="L13" s="40"/>
      <c r="M13" s="40"/>
      <c r="N13" s="36"/>
      <c r="O13" s="41"/>
      <c r="P13" s="41"/>
      <c r="Q13" s="41"/>
      <c r="R13" s="38"/>
      <c r="S13" s="38"/>
      <c r="T13" s="38"/>
      <c r="U13" s="38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8"/>
      <c r="CZ13" s="38"/>
      <c r="DA13" s="13"/>
      <c r="DB13" s="13"/>
      <c r="DC13" s="13"/>
      <c r="DD13" s="13"/>
      <c r="DE13" s="13"/>
      <c r="DF13" s="13"/>
      <c r="DG13" s="13"/>
      <c r="DH13" s="13"/>
      <c r="DI13" s="13"/>
    </row>
    <row r="14" spans="1:113" ht="18" customHeight="1" x14ac:dyDescent="0.4">
      <c r="B14" s="27">
        <f t="shared" si="6"/>
        <v>3</v>
      </c>
      <c r="C14" s="28"/>
      <c r="D14" s="28"/>
      <c r="E14" s="29" t="s">
        <v>58</v>
      </c>
      <c r="F14" s="30"/>
      <c r="G14" s="31">
        <v>5</v>
      </c>
      <c r="H14" s="43">
        <v>3</v>
      </c>
      <c r="I14" s="32">
        <f t="shared" si="7"/>
        <v>0.6</v>
      </c>
      <c r="J14" s="33">
        <f ca="1">TODAY()-10</f>
        <v>44271</v>
      </c>
      <c r="K14" s="33">
        <f t="shared" ref="K14:M43" ca="1" si="8">TODAY()+5</f>
        <v>44286</v>
      </c>
      <c r="L14" s="33"/>
      <c r="M14" s="33"/>
      <c r="N14" s="44"/>
      <c r="O14" s="36"/>
      <c r="P14" s="36"/>
      <c r="Q14" s="36"/>
      <c r="R14" s="38"/>
      <c r="S14" s="38"/>
      <c r="T14" s="38"/>
      <c r="U14" s="38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8"/>
      <c r="CZ14" s="38"/>
      <c r="DA14" s="13"/>
      <c r="DB14" s="13"/>
      <c r="DC14" s="13"/>
      <c r="DD14" s="13"/>
      <c r="DE14" s="13"/>
      <c r="DF14" s="13"/>
      <c r="DG14" s="13"/>
      <c r="DH14" s="13"/>
      <c r="DI14" s="13"/>
    </row>
    <row r="15" spans="1:113" ht="18" customHeight="1" x14ac:dyDescent="0.4">
      <c r="B15" s="27">
        <f t="shared" si="6"/>
        <v>4</v>
      </c>
      <c r="C15" s="28"/>
      <c r="D15" s="29"/>
      <c r="E15" s="29" t="s">
        <v>59</v>
      </c>
      <c r="F15" s="30"/>
      <c r="G15" s="31">
        <v>5</v>
      </c>
      <c r="H15" s="45">
        <v>4</v>
      </c>
      <c r="I15" s="32">
        <f t="shared" si="7"/>
        <v>0.8</v>
      </c>
      <c r="J15" s="33">
        <f ca="1">TODAY()-28</f>
        <v>44253</v>
      </c>
      <c r="K15" s="33">
        <f ca="1">TODAY()-20</f>
        <v>44261</v>
      </c>
      <c r="L15" s="46"/>
      <c r="M15" s="46"/>
      <c r="N15" s="44"/>
      <c r="O15" s="36"/>
      <c r="P15" s="36"/>
      <c r="Q15" s="36"/>
      <c r="R15" s="38"/>
      <c r="S15" s="38"/>
      <c r="T15" s="38"/>
      <c r="U15" s="38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8"/>
      <c r="CZ15" s="38"/>
      <c r="DA15" s="13"/>
      <c r="DB15" s="13"/>
      <c r="DC15" s="13"/>
      <c r="DD15" s="13"/>
      <c r="DE15" s="13"/>
      <c r="DF15" s="13"/>
      <c r="DG15" s="13"/>
      <c r="DH15" s="13"/>
      <c r="DI15" s="13"/>
    </row>
    <row r="16" spans="1:113" ht="18" customHeight="1" x14ac:dyDescent="0.4">
      <c r="B16" s="27">
        <f t="shared" si="6"/>
        <v>5</v>
      </c>
      <c r="C16" s="28"/>
      <c r="D16" s="28"/>
      <c r="E16" s="29" t="s">
        <v>60</v>
      </c>
      <c r="F16" s="30"/>
      <c r="G16" s="31">
        <v>5</v>
      </c>
      <c r="H16" s="39">
        <v>5</v>
      </c>
      <c r="I16" s="32">
        <f t="shared" si="7"/>
        <v>1</v>
      </c>
      <c r="J16" s="33">
        <f t="shared" ref="J16:J43" ca="1" si="9">TODAY()-1</f>
        <v>44280</v>
      </c>
      <c r="K16" s="33">
        <f t="shared" ca="1" si="8"/>
        <v>44286</v>
      </c>
      <c r="L16" s="34"/>
      <c r="M16" s="34"/>
      <c r="N16" s="47"/>
      <c r="O16" s="36"/>
      <c r="P16" s="36"/>
      <c r="Q16" s="36"/>
      <c r="R16" s="38"/>
      <c r="S16" s="38"/>
      <c r="T16" s="38"/>
      <c r="U16" s="38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8"/>
      <c r="CZ16" s="38"/>
      <c r="DA16" s="13"/>
      <c r="DB16" s="13"/>
      <c r="DC16" s="13"/>
      <c r="DD16" s="13"/>
      <c r="DE16" s="13"/>
      <c r="DF16" s="13"/>
      <c r="DG16" s="13"/>
      <c r="DH16" s="13"/>
      <c r="DI16" s="13"/>
    </row>
    <row r="17" spans="2:113" ht="18" customHeight="1" x14ac:dyDescent="0.4">
      <c r="B17" s="27">
        <f t="shared" si="6"/>
        <v>6</v>
      </c>
      <c r="C17" s="28"/>
      <c r="D17" s="28"/>
      <c r="E17" s="29" t="s">
        <v>61</v>
      </c>
      <c r="F17" s="30"/>
      <c r="G17" s="31">
        <v>5</v>
      </c>
      <c r="H17" s="43">
        <v>5</v>
      </c>
      <c r="I17" s="32">
        <f t="shared" si="7"/>
        <v>1</v>
      </c>
      <c r="J17" s="33">
        <f t="shared" ca="1" si="9"/>
        <v>44280</v>
      </c>
      <c r="K17" s="33">
        <f t="shared" ca="1" si="8"/>
        <v>44286</v>
      </c>
      <c r="L17" s="40"/>
      <c r="M17" s="40"/>
      <c r="N17" s="48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  <c r="CD17" s="49"/>
      <c r="CE17" s="49"/>
      <c r="CF17" s="49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49"/>
      <c r="CX17" s="49"/>
      <c r="CY17" s="49"/>
      <c r="CZ17" s="49"/>
    </row>
    <row r="18" spans="2:113" ht="18" customHeight="1" x14ac:dyDescent="0.4">
      <c r="B18" s="27">
        <f t="shared" si="6"/>
        <v>7</v>
      </c>
      <c r="C18" s="28"/>
      <c r="D18" s="29"/>
      <c r="E18" s="29" t="s">
        <v>62</v>
      </c>
      <c r="F18" s="30"/>
      <c r="G18" s="31">
        <v>5</v>
      </c>
      <c r="H18" s="43">
        <v>5</v>
      </c>
      <c r="I18" s="32">
        <f t="shared" si="7"/>
        <v>1</v>
      </c>
      <c r="J18" s="33">
        <f t="shared" ca="1" si="9"/>
        <v>44280</v>
      </c>
      <c r="K18" s="33">
        <f t="shared" ca="1" si="8"/>
        <v>44286</v>
      </c>
      <c r="L18" s="40"/>
      <c r="M18" s="40"/>
      <c r="N18" s="48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</row>
    <row r="19" spans="2:113" ht="18" customHeight="1" x14ac:dyDescent="0.4">
      <c r="B19" s="27">
        <f t="shared" si="6"/>
        <v>8</v>
      </c>
      <c r="C19" s="28"/>
      <c r="D19" s="29"/>
      <c r="E19" s="29" t="s">
        <v>63</v>
      </c>
      <c r="F19" s="30"/>
      <c r="G19" s="31">
        <v>5</v>
      </c>
      <c r="H19" s="39">
        <v>5</v>
      </c>
      <c r="I19" s="32">
        <f t="shared" si="7"/>
        <v>1</v>
      </c>
      <c r="J19" s="33">
        <f t="shared" ca="1" si="9"/>
        <v>44280</v>
      </c>
      <c r="K19" s="33">
        <f t="shared" ca="1" si="8"/>
        <v>44286</v>
      </c>
      <c r="L19" s="40"/>
      <c r="M19" s="40"/>
      <c r="N19" s="36"/>
      <c r="O19" s="36"/>
      <c r="P19" s="36"/>
      <c r="Q19" s="36"/>
      <c r="R19" s="38"/>
      <c r="S19" s="38"/>
      <c r="T19" s="38"/>
      <c r="U19" s="38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8"/>
      <c r="CZ19" s="38"/>
      <c r="DA19" s="13"/>
      <c r="DB19" s="13"/>
      <c r="DC19" s="13"/>
      <c r="DD19" s="13"/>
      <c r="DE19" s="13"/>
      <c r="DF19" s="13"/>
      <c r="DG19" s="13"/>
      <c r="DH19" s="13"/>
      <c r="DI19" s="13"/>
    </row>
    <row r="20" spans="2:113" ht="18" customHeight="1" x14ac:dyDescent="0.4">
      <c r="B20" s="27">
        <f t="shared" si="6"/>
        <v>9</v>
      </c>
      <c r="C20" s="28"/>
      <c r="D20" s="29"/>
      <c r="E20" s="29" t="s">
        <v>64</v>
      </c>
      <c r="F20" s="30"/>
      <c r="G20" s="31">
        <v>5</v>
      </c>
      <c r="H20" s="43">
        <v>5</v>
      </c>
      <c r="I20" s="32">
        <f t="shared" si="7"/>
        <v>1</v>
      </c>
      <c r="J20" s="33">
        <f t="shared" ca="1" si="9"/>
        <v>44280</v>
      </c>
      <c r="K20" s="33">
        <f t="shared" ca="1" si="8"/>
        <v>44286</v>
      </c>
      <c r="L20" s="40"/>
      <c r="M20" s="40"/>
      <c r="N20" s="44"/>
      <c r="O20" s="36"/>
      <c r="P20" s="36"/>
      <c r="Q20" s="36"/>
      <c r="R20" s="36"/>
      <c r="S20" s="36"/>
      <c r="T20" s="38"/>
      <c r="U20" s="38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8"/>
      <c r="CZ20" s="38"/>
      <c r="DA20" s="13"/>
      <c r="DB20" s="13"/>
      <c r="DC20" s="13"/>
      <c r="DD20" s="13"/>
      <c r="DE20" s="13"/>
      <c r="DF20" s="13"/>
      <c r="DG20" s="13"/>
      <c r="DH20" s="13"/>
      <c r="DI20" s="13"/>
    </row>
    <row r="21" spans="2:113" ht="18" customHeight="1" x14ac:dyDescent="0.4">
      <c r="B21" s="27">
        <f t="shared" si="6"/>
        <v>10</v>
      </c>
      <c r="C21" s="28"/>
      <c r="D21" s="28"/>
      <c r="E21" s="29" t="s">
        <v>65</v>
      </c>
      <c r="F21" s="30"/>
      <c r="G21" s="31">
        <v>5</v>
      </c>
      <c r="H21" s="39">
        <v>1</v>
      </c>
      <c r="I21" s="32">
        <f t="shared" si="7"/>
        <v>0.2</v>
      </c>
      <c r="J21" s="33">
        <f t="shared" ca="1" si="9"/>
        <v>44280</v>
      </c>
      <c r="K21" s="33">
        <f t="shared" ca="1" si="8"/>
        <v>44286</v>
      </c>
      <c r="L21" s="40"/>
      <c r="M21" s="40"/>
      <c r="N21" s="41"/>
      <c r="O21" s="36"/>
      <c r="P21" s="36"/>
      <c r="Q21" s="41"/>
      <c r="R21" s="38"/>
      <c r="S21" s="38"/>
      <c r="T21" s="38"/>
      <c r="U21" s="38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8"/>
      <c r="CZ21" s="38"/>
      <c r="DA21" s="13"/>
      <c r="DB21" s="13"/>
      <c r="DC21" s="13"/>
      <c r="DD21" s="13"/>
      <c r="DE21" s="13"/>
      <c r="DF21" s="13"/>
      <c r="DG21" s="13"/>
      <c r="DH21" s="13"/>
      <c r="DI21" s="13"/>
    </row>
    <row r="22" spans="2:113" ht="18" customHeight="1" x14ac:dyDescent="0.4">
      <c r="B22" s="27">
        <f t="shared" si="6"/>
        <v>11</v>
      </c>
      <c r="C22" s="28"/>
      <c r="D22" s="28"/>
      <c r="E22" s="29" t="s">
        <v>66</v>
      </c>
      <c r="F22" s="30"/>
      <c r="G22" s="31">
        <v>5</v>
      </c>
      <c r="H22" s="39">
        <v>1</v>
      </c>
      <c r="I22" s="32">
        <f t="shared" si="7"/>
        <v>0.2</v>
      </c>
      <c r="J22" s="33">
        <f t="shared" ca="1" si="9"/>
        <v>44280</v>
      </c>
      <c r="K22" s="33">
        <f t="shared" ca="1" si="8"/>
        <v>44286</v>
      </c>
      <c r="L22" s="40"/>
      <c r="M22" s="40"/>
      <c r="N22" s="36"/>
      <c r="O22" s="36"/>
      <c r="P22" s="36"/>
      <c r="Q22" s="36"/>
      <c r="R22" s="38"/>
      <c r="S22" s="38"/>
      <c r="T22" s="38"/>
      <c r="U22" s="38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6"/>
      <c r="BG22" s="36"/>
      <c r="BH22" s="36"/>
      <c r="BI22" s="36"/>
      <c r="BJ22" s="50"/>
      <c r="BK22" s="50"/>
      <c r="BL22" s="50"/>
      <c r="BM22" s="50"/>
      <c r="BN22" s="50"/>
      <c r="BO22" s="36"/>
      <c r="BP22" s="36"/>
      <c r="BQ22" s="39"/>
      <c r="BR22" s="39"/>
      <c r="BS22" s="39"/>
      <c r="BT22" s="39"/>
      <c r="BU22" s="39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8"/>
      <c r="CZ22" s="38"/>
      <c r="DA22" s="13"/>
      <c r="DB22" s="13"/>
      <c r="DC22" s="13"/>
      <c r="DD22" s="13"/>
      <c r="DE22" s="13"/>
      <c r="DF22" s="13"/>
      <c r="DG22" s="13"/>
      <c r="DH22" s="13"/>
      <c r="DI22" s="13"/>
    </row>
    <row r="23" spans="2:113" ht="18" customHeight="1" x14ac:dyDescent="0.4">
      <c r="B23" s="27">
        <f t="shared" si="6"/>
        <v>12</v>
      </c>
      <c r="C23" s="28"/>
      <c r="D23" s="28"/>
      <c r="E23" s="29" t="s">
        <v>67</v>
      </c>
      <c r="F23" s="30"/>
      <c r="G23" s="31">
        <v>5</v>
      </c>
      <c r="H23" s="43">
        <v>4</v>
      </c>
      <c r="I23" s="32">
        <f t="shared" si="7"/>
        <v>0.8</v>
      </c>
      <c r="J23" s="33">
        <f t="shared" ca="1" si="9"/>
        <v>44280</v>
      </c>
      <c r="K23" s="33">
        <f t="shared" ca="1" si="8"/>
        <v>44286</v>
      </c>
      <c r="L23" s="40"/>
      <c r="M23" s="40"/>
      <c r="N23" s="47"/>
      <c r="O23" s="36"/>
      <c r="P23" s="36"/>
      <c r="Q23" s="36"/>
      <c r="R23" s="38"/>
      <c r="S23" s="38"/>
      <c r="T23" s="38"/>
      <c r="U23" s="38"/>
      <c r="V23" s="42"/>
      <c r="W23" s="42"/>
      <c r="X23" s="42"/>
      <c r="Y23" s="42"/>
      <c r="Z23" s="42"/>
      <c r="AA23" s="37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8"/>
      <c r="CZ23" s="38"/>
      <c r="DA23" s="13"/>
      <c r="DB23" s="13"/>
      <c r="DC23" s="13"/>
      <c r="DD23" s="13"/>
      <c r="DE23" s="13"/>
      <c r="DF23" s="13"/>
      <c r="DG23" s="13"/>
      <c r="DH23" s="13"/>
      <c r="DI23" s="13"/>
    </row>
    <row r="24" spans="2:113" ht="18" customHeight="1" x14ac:dyDescent="0.4">
      <c r="B24" s="27">
        <f t="shared" si="6"/>
        <v>13</v>
      </c>
      <c r="C24" s="28"/>
      <c r="D24" s="29"/>
      <c r="E24" s="29" t="s">
        <v>68</v>
      </c>
      <c r="F24" s="30"/>
      <c r="G24" s="31">
        <v>5</v>
      </c>
      <c r="H24" s="39">
        <v>4</v>
      </c>
      <c r="I24" s="32">
        <v>0.2</v>
      </c>
      <c r="J24" s="33">
        <f t="shared" ca="1" si="9"/>
        <v>44280</v>
      </c>
      <c r="K24" s="33">
        <f t="shared" ca="1" si="8"/>
        <v>44286</v>
      </c>
      <c r="L24" s="40"/>
      <c r="M24" s="40"/>
      <c r="N24" s="44"/>
      <c r="O24" s="36"/>
      <c r="P24" s="36"/>
      <c r="Q24" s="36"/>
      <c r="R24" s="36"/>
      <c r="S24" s="36"/>
      <c r="T24" s="38"/>
      <c r="U24" s="38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8"/>
      <c r="CZ24" s="38"/>
      <c r="DA24" s="13"/>
      <c r="DB24" s="13"/>
      <c r="DC24" s="13"/>
      <c r="DD24" s="13"/>
      <c r="DE24" s="13"/>
      <c r="DF24" s="13"/>
      <c r="DG24" s="13"/>
      <c r="DH24" s="13"/>
      <c r="DI24" s="13"/>
    </row>
    <row r="25" spans="2:113" ht="18" customHeight="1" x14ac:dyDescent="0.4">
      <c r="B25" s="27">
        <f t="shared" si="6"/>
        <v>14</v>
      </c>
      <c r="C25" s="28"/>
      <c r="D25" s="51"/>
      <c r="E25" s="29" t="s">
        <v>69</v>
      </c>
      <c r="F25" s="30"/>
      <c r="G25" s="31">
        <v>5</v>
      </c>
      <c r="H25" s="39">
        <v>1</v>
      </c>
      <c r="I25" s="32">
        <f t="shared" ref="I25:I44" si="10">IF(G25&gt;0,H25/G25,"")</f>
        <v>0.2</v>
      </c>
      <c r="J25" s="33">
        <f ca="1">TODAY()+15</f>
        <v>44296</v>
      </c>
      <c r="K25" s="33">
        <f ca="1">TODAY()+20</f>
        <v>44301</v>
      </c>
      <c r="L25" s="34"/>
      <c r="M25" s="34"/>
      <c r="N25" s="48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  <c r="CD25" s="49"/>
      <c r="CE25" s="49"/>
      <c r="CF25" s="49"/>
      <c r="CG25" s="49"/>
      <c r="CH25" s="49"/>
      <c r="CI25" s="49"/>
      <c r="CJ25" s="49"/>
      <c r="CK25" s="49"/>
      <c r="CL25" s="49"/>
      <c r="CM25" s="49"/>
      <c r="CN25" s="49"/>
      <c r="CO25" s="49"/>
      <c r="CP25" s="49"/>
      <c r="CQ25" s="49"/>
      <c r="CR25" s="49"/>
      <c r="CS25" s="49"/>
      <c r="CT25" s="49"/>
      <c r="CU25" s="49"/>
      <c r="CV25" s="49"/>
      <c r="CW25" s="49"/>
      <c r="CX25" s="49"/>
      <c r="CY25" s="49"/>
      <c r="CZ25" s="49"/>
    </row>
    <row r="26" spans="2:113" ht="18" customHeight="1" x14ac:dyDescent="0.4">
      <c r="B26" s="27">
        <f t="shared" si="6"/>
        <v>15</v>
      </c>
      <c r="C26" s="28"/>
      <c r="D26" s="29"/>
      <c r="E26" s="29" t="s">
        <v>70</v>
      </c>
      <c r="F26" s="30"/>
      <c r="G26" s="31">
        <v>5</v>
      </c>
      <c r="H26" s="39">
        <v>1</v>
      </c>
      <c r="I26" s="32">
        <f t="shared" si="10"/>
        <v>0.2</v>
      </c>
      <c r="J26" s="33">
        <f t="shared" ca="1" si="9"/>
        <v>44280</v>
      </c>
      <c r="K26" s="33">
        <f t="shared" ca="1" si="8"/>
        <v>44286</v>
      </c>
      <c r="L26" s="34"/>
      <c r="M26" s="34"/>
      <c r="N26" s="36"/>
      <c r="O26" s="36"/>
      <c r="P26" s="36"/>
      <c r="Q26" s="36"/>
      <c r="R26" s="38"/>
      <c r="S26" s="38"/>
      <c r="T26" s="36"/>
      <c r="U26" s="36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8"/>
      <c r="CZ26" s="38"/>
      <c r="DA26" s="13"/>
      <c r="DB26" s="13"/>
      <c r="DC26" s="13"/>
      <c r="DD26" s="13"/>
      <c r="DE26" s="13"/>
      <c r="DF26" s="13"/>
      <c r="DG26" s="13"/>
      <c r="DH26" s="13"/>
      <c r="DI26" s="13"/>
    </row>
    <row r="27" spans="2:113" ht="18" customHeight="1" x14ac:dyDescent="0.4">
      <c r="B27" s="27">
        <f t="shared" si="6"/>
        <v>16</v>
      </c>
      <c r="C27" s="28"/>
      <c r="D27" s="29"/>
      <c r="E27" s="29" t="s">
        <v>71</v>
      </c>
      <c r="F27" s="30"/>
      <c r="G27" s="31">
        <v>5</v>
      </c>
      <c r="H27" s="39"/>
      <c r="I27" s="32">
        <f t="shared" si="10"/>
        <v>0</v>
      </c>
      <c r="J27" s="33">
        <f ca="1">TODAY()-3</f>
        <v>44278</v>
      </c>
      <c r="K27" s="33">
        <f ca="1">TODAY()+3</f>
        <v>44284</v>
      </c>
      <c r="L27" s="34"/>
      <c r="M27" s="34"/>
      <c r="N27" s="44"/>
      <c r="O27" s="36"/>
      <c r="P27" s="36"/>
      <c r="Q27" s="36"/>
      <c r="R27" s="38"/>
      <c r="S27" s="38"/>
      <c r="T27" s="38"/>
      <c r="U27" s="38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8"/>
      <c r="CZ27" s="38"/>
      <c r="DA27" s="13"/>
      <c r="DB27" s="13"/>
      <c r="DC27" s="13"/>
      <c r="DD27" s="13"/>
      <c r="DE27" s="13"/>
      <c r="DF27" s="13"/>
      <c r="DG27" s="13"/>
      <c r="DH27" s="13"/>
      <c r="DI27" s="13"/>
    </row>
    <row r="28" spans="2:113" ht="18" customHeight="1" x14ac:dyDescent="0.4">
      <c r="B28" s="27">
        <f t="shared" si="6"/>
        <v>17</v>
      </c>
      <c r="C28" s="28"/>
      <c r="D28" s="29"/>
      <c r="E28" s="29" t="s">
        <v>72</v>
      </c>
      <c r="F28" s="30"/>
      <c r="G28" s="31">
        <v>5</v>
      </c>
      <c r="H28" s="43">
        <v>5</v>
      </c>
      <c r="I28" s="32">
        <f t="shared" si="10"/>
        <v>1</v>
      </c>
      <c r="J28" s="33">
        <f ca="1">TODAY()+3</f>
        <v>44284</v>
      </c>
      <c r="K28" s="33">
        <f ca="1">TODAY()+20</f>
        <v>44301</v>
      </c>
      <c r="L28" s="34"/>
      <c r="M28" s="34"/>
      <c r="N28" s="44"/>
      <c r="O28" s="36"/>
      <c r="P28" s="36"/>
      <c r="Q28" s="36"/>
      <c r="R28" s="36"/>
      <c r="S28" s="36"/>
      <c r="T28" s="38"/>
      <c r="U28" s="38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8"/>
      <c r="CZ28" s="38"/>
      <c r="DA28" s="13"/>
      <c r="DB28" s="13"/>
      <c r="DC28" s="13"/>
      <c r="DD28" s="13"/>
      <c r="DE28" s="13"/>
      <c r="DF28" s="13"/>
      <c r="DG28" s="13"/>
      <c r="DH28" s="13"/>
      <c r="DI28" s="13"/>
    </row>
    <row r="29" spans="2:113" ht="18" customHeight="1" x14ac:dyDescent="0.4">
      <c r="B29" s="27">
        <f t="shared" si="6"/>
        <v>18</v>
      </c>
      <c r="C29" s="28"/>
      <c r="D29" s="29"/>
      <c r="E29" s="29" t="s">
        <v>73</v>
      </c>
      <c r="F29" s="30"/>
      <c r="G29" s="31">
        <v>5</v>
      </c>
      <c r="H29" s="39">
        <v>5</v>
      </c>
      <c r="I29" s="32">
        <f t="shared" si="10"/>
        <v>1</v>
      </c>
      <c r="J29" s="33">
        <f t="shared" ca="1" si="9"/>
        <v>44280</v>
      </c>
      <c r="K29" s="33">
        <f t="shared" ca="1" si="8"/>
        <v>44286</v>
      </c>
      <c r="L29" s="40"/>
      <c r="M29" s="40"/>
      <c r="N29" s="44"/>
      <c r="O29" s="36"/>
      <c r="P29" s="36"/>
      <c r="Q29" s="36"/>
      <c r="R29" s="36"/>
      <c r="S29" s="36"/>
      <c r="T29" s="38"/>
      <c r="U29" s="38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8"/>
      <c r="CZ29" s="38"/>
      <c r="DA29" s="13"/>
      <c r="DB29" s="13"/>
      <c r="DC29" s="13"/>
      <c r="DD29" s="13"/>
      <c r="DE29" s="13"/>
      <c r="DF29" s="13"/>
      <c r="DG29" s="13"/>
      <c r="DH29" s="13"/>
      <c r="DI29" s="13"/>
    </row>
    <row r="30" spans="2:113" ht="18" customHeight="1" x14ac:dyDescent="0.4">
      <c r="B30" s="27">
        <f t="shared" si="6"/>
        <v>19</v>
      </c>
      <c r="C30" s="28"/>
      <c r="D30" s="29"/>
      <c r="E30" s="29" t="s">
        <v>74</v>
      </c>
      <c r="F30" s="30"/>
      <c r="G30" s="31">
        <v>5</v>
      </c>
      <c r="H30" s="39">
        <v>5</v>
      </c>
      <c r="I30" s="32">
        <f t="shared" si="10"/>
        <v>1</v>
      </c>
      <c r="J30" s="33">
        <f t="shared" ca="1" si="9"/>
        <v>44280</v>
      </c>
      <c r="K30" s="33">
        <f ca="1">TODAY()+13</f>
        <v>44294</v>
      </c>
      <c r="L30" s="34"/>
      <c r="M30" s="34"/>
      <c r="N30" s="36"/>
      <c r="O30" s="36"/>
      <c r="P30" s="36"/>
      <c r="Q30" s="36"/>
      <c r="R30" s="38"/>
      <c r="S30" s="38"/>
      <c r="T30" s="36"/>
      <c r="U30" s="36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8"/>
      <c r="CZ30" s="38"/>
      <c r="DA30" s="13"/>
      <c r="DB30" s="13"/>
      <c r="DC30" s="13"/>
      <c r="DD30" s="13"/>
      <c r="DE30" s="13"/>
      <c r="DF30" s="13"/>
      <c r="DG30" s="13"/>
      <c r="DH30" s="13"/>
      <c r="DI30" s="13"/>
    </row>
    <row r="31" spans="2:113" ht="18" customHeight="1" x14ac:dyDescent="0.4">
      <c r="B31" s="27">
        <f t="shared" si="6"/>
        <v>20</v>
      </c>
      <c r="C31" s="28"/>
      <c r="D31" s="28"/>
      <c r="E31" s="29" t="s">
        <v>75</v>
      </c>
      <c r="F31" s="30"/>
      <c r="G31" s="31">
        <v>5</v>
      </c>
      <c r="H31" s="39">
        <v>1</v>
      </c>
      <c r="I31" s="32">
        <f t="shared" si="10"/>
        <v>0.2</v>
      </c>
      <c r="J31" s="33">
        <f t="shared" ca="1" si="9"/>
        <v>44280</v>
      </c>
      <c r="K31" s="33">
        <f t="shared" ca="1" si="8"/>
        <v>44286</v>
      </c>
      <c r="L31" s="40"/>
      <c r="M31" s="40"/>
      <c r="N31" s="36"/>
      <c r="O31" s="36"/>
      <c r="P31" s="36"/>
      <c r="Q31" s="36"/>
      <c r="R31" s="38"/>
      <c r="S31" s="38"/>
      <c r="T31" s="36"/>
      <c r="U31" s="36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8"/>
      <c r="CZ31" s="38"/>
      <c r="DA31" s="13"/>
      <c r="DB31" s="13"/>
      <c r="DC31" s="13"/>
      <c r="DD31" s="13"/>
      <c r="DE31" s="13"/>
      <c r="DF31" s="13"/>
      <c r="DG31" s="13"/>
      <c r="DH31" s="13"/>
      <c r="DI31" s="13"/>
    </row>
    <row r="32" spans="2:113" ht="18" customHeight="1" x14ac:dyDescent="0.4">
      <c r="B32" s="27">
        <f t="shared" si="6"/>
        <v>21</v>
      </c>
      <c r="C32" s="28"/>
      <c r="D32" s="29"/>
      <c r="E32" s="29" t="s">
        <v>76</v>
      </c>
      <c r="F32" s="30"/>
      <c r="G32" s="31">
        <v>5</v>
      </c>
      <c r="H32" s="39">
        <v>1</v>
      </c>
      <c r="I32" s="32">
        <f t="shared" si="10"/>
        <v>0.2</v>
      </c>
      <c r="J32" s="33">
        <f ca="1">TODAY()+5</f>
        <v>44286</v>
      </c>
      <c r="K32" s="33">
        <f ca="1">TODAY()+10</f>
        <v>44291</v>
      </c>
      <c r="L32" s="40"/>
      <c r="M32" s="40"/>
      <c r="N32" s="36"/>
      <c r="O32" s="36"/>
      <c r="P32" s="36"/>
      <c r="Q32" s="36"/>
      <c r="R32" s="38"/>
      <c r="S32" s="38"/>
      <c r="T32" s="36"/>
      <c r="U32" s="36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8"/>
      <c r="CZ32" s="38"/>
      <c r="DA32" s="13"/>
      <c r="DB32" s="13"/>
      <c r="DC32" s="13"/>
      <c r="DD32" s="13"/>
      <c r="DE32" s="13"/>
      <c r="DF32" s="13"/>
      <c r="DG32" s="13"/>
      <c r="DH32" s="13"/>
      <c r="DI32" s="13"/>
    </row>
    <row r="33" spans="2:113" ht="18" customHeight="1" x14ac:dyDescent="0.4">
      <c r="B33" s="27">
        <f t="shared" si="6"/>
        <v>22</v>
      </c>
      <c r="C33" s="28"/>
      <c r="D33" s="29"/>
      <c r="E33" s="29" t="s">
        <v>77</v>
      </c>
      <c r="F33" s="30"/>
      <c r="G33" s="31">
        <v>5</v>
      </c>
      <c r="H33" s="39">
        <v>5</v>
      </c>
      <c r="I33" s="32">
        <f t="shared" si="10"/>
        <v>1</v>
      </c>
      <c r="J33" s="33">
        <f ca="1">TODAY()</f>
        <v>44281</v>
      </c>
      <c r="K33" s="33">
        <f t="shared" ca="1" si="8"/>
        <v>44286</v>
      </c>
      <c r="L33" s="40"/>
      <c r="M33" s="40"/>
      <c r="N33" s="36"/>
      <c r="O33" s="36"/>
      <c r="P33" s="36"/>
      <c r="Q33" s="36"/>
      <c r="R33" s="38"/>
      <c r="S33" s="38"/>
      <c r="T33" s="36"/>
      <c r="U33" s="36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8"/>
      <c r="CZ33" s="38"/>
      <c r="DA33" s="13"/>
      <c r="DB33" s="13"/>
      <c r="DC33" s="13"/>
      <c r="DD33" s="13"/>
      <c r="DE33" s="13"/>
      <c r="DF33" s="13"/>
      <c r="DG33" s="13"/>
      <c r="DH33" s="13"/>
      <c r="DI33" s="13"/>
    </row>
    <row r="34" spans="2:113" ht="18" customHeight="1" x14ac:dyDescent="0.4">
      <c r="B34" s="27">
        <f t="shared" si="6"/>
        <v>23</v>
      </c>
      <c r="C34" s="28"/>
      <c r="D34" s="29"/>
      <c r="E34" s="29" t="s">
        <v>78</v>
      </c>
      <c r="F34" s="30"/>
      <c r="G34" s="31">
        <v>5</v>
      </c>
      <c r="H34" s="39">
        <v>5</v>
      </c>
      <c r="I34" s="32">
        <f t="shared" si="10"/>
        <v>1</v>
      </c>
      <c r="J34" s="33">
        <f t="shared" ref="J34:J35" ca="1" si="11">TODAY()</f>
        <v>44281</v>
      </c>
      <c r="K34" s="33">
        <f t="shared" ca="1" si="8"/>
        <v>44286</v>
      </c>
      <c r="L34" s="34"/>
      <c r="M34" s="34"/>
      <c r="N34" s="36"/>
      <c r="O34" s="36"/>
      <c r="P34" s="36"/>
      <c r="Q34" s="36"/>
      <c r="R34" s="38"/>
      <c r="S34" s="38"/>
      <c r="T34" s="38"/>
      <c r="U34" s="38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50"/>
      <c r="BY34" s="50"/>
      <c r="BZ34" s="50"/>
      <c r="CA34" s="50"/>
      <c r="CB34" s="50"/>
      <c r="CC34" s="36"/>
      <c r="CD34" s="36"/>
      <c r="CE34" s="50"/>
      <c r="CF34" s="50"/>
      <c r="CG34" s="50"/>
      <c r="CH34" s="50"/>
      <c r="CI34" s="50"/>
      <c r="CJ34" s="36"/>
      <c r="CK34" s="36"/>
      <c r="CL34" s="50"/>
      <c r="CM34" s="50"/>
      <c r="CN34" s="50"/>
      <c r="CO34" s="50"/>
      <c r="CP34" s="50"/>
      <c r="CQ34" s="36"/>
      <c r="CR34" s="36"/>
      <c r="CS34" s="39"/>
      <c r="CT34" s="39"/>
      <c r="CU34" s="39"/>
      <c r="CV34" s="39"/>
      <c r="CW34" s="39"/>
      <c r="CX34" s="36"/>
      <c r="CY34" s="38"/>
      <c r="CZ34" s="38"/>
      <c r="DA34" s="13"/>
      <c r="DB34" s="13"/>
      <c r="DC34" s="13"/>
      <c r="DD34" s="13"/>
      <c r="DE34" s="13"/>
      <c r="DF34" s="13"/>
      <c r="DG34" s="13"/>
      <c r="DH34" s="13"/>
      <c r="DI34" s="13"/>
    </row>
    <row r="35" spans="2:113" ht="18" customHeight="1" x14ac:dyDescent="0.4">
      <c r="B35" s="27">
        <f t="shared" si="6"/>
        <v>24</v>
      </c>
      <c r="C35" s="28"/>
      <c r="D35" s="29"/>
      <c r="E35" s="29" t="s">
        <v>79</v>
      </c>
      <c r="F35" s="30"/>
      <c r="G35" s="31">
        <v>5</v>
      </c>
      <c r="H35" s="43"/>
      <c r="I35" s="32">
        <f t="shared" si="10"/>
        <v>0</v>
      </c>
      <c r="J35" s="33">
        <f t="shared" ca="1" si="11"/>
        <v>44281</v>
      </c>
      <c r="K35" s="33">
        <f t="shared" ca="1" si="8"/>
        <v>44286</v>
      </c>
      <c r="L35" s="40"/>
      <c r="M35" s="40"/>
      <c r="N35" s="36"/>
      <c r="O35" s="36"/>
      <c r="P35" s="36"/>
      <c r="Q35" s="36"/>
      <c r="R35" s="38"/>
      <c r="S35" s="38"/>
      <c r="T35" s="38"/>
      <c r="U35" s="38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50"/>
      <c r="BG35" s="50"/>
      <c r="BH35" s="36"/>
      <c r="BI35" s="36"/>
      <c r="BJ35" s="50"/>
      <c r="BK35" s="50"/>
      <c r="BL35" s="50"/>
      <c r="BM35" s="50"/>
      <c r="BN35" s="50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8"/>
      <c r="CZ35" s="38"/>
      <c r="DA35" s="13"/>
      <c r="DB35" s="13"/>
      <c r="DC35" s="13"/>
      <c r="DD35" s="13"/>
      <c r="DE35" s="13"/>
      <c r="DF35" s="13"/>
      <c r="DG35" s="13"/>
      <c r="DH35" s="13"/>
      <c r="DI35" s="13"/>
    </row>
    <row r="36" spans="2:113" ht="18" customHeight="1" x14ac:dyDescent="0.4">
      <c r="B36" s="27">
        <f t="shared" si="6"/>
        <v>25</v>
      </c>
      <c r="C36" s="28"/>
      <c r="D36" s="29"/>
      <c r="E36" s="29" t="s">
        <v>80</v>
      </c>
      <c r="F36" s="30"/>
      <c r="G36" s="31">
        <v>5</v>
      </c>
      <c r="H36" s="39">
        <v>5</v>
      </c>
      <c r="I36" s="32">
        <f t="shared" si="10"/>
        <v>1</v>
      </c>
      <c r="J36" s="33">
        <v>44263</v>
      </c>
      <c r="K36" s="33">
        <v>44278</v>
      </c>
      <c r="L36" s="40"/>
      <c r="M36" s="40"/>
      <c r="N36" s="36"/>
      <c r="O36" s="36"/>
      <c r="P36" s="36"/>
      <c r="Q36" s="36"/>
      <c r="R36" s="38"/>
      <c r="S36" s="38"/>
      <c r="T36" s="52"/>
      <c r="U36" s="5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39"/>
      <c r="BG36" s="39"/>
      <c r="BH36" s="36"/>
      <c r="BI36" s="36"/>
      <c r="BJ36" s="39"/>
      <c r="BK36" s="39"/>
      <c r="BL36" s="39"/>
      <c r="BM36" s="39"/>
      <c r="BN36" s="39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8"/>
      <c r="CZ36" s="38"/>
      <c r="DA36" s="13"/>
      <c r="DB36" s="13"/>
      <c r="DC36" s="13"/>
      <c r="DD36" s="13"/>
      <c r="DE36" s="13"/>
      <c r="DF36" s="13"/>
      <c r="DG36" s="13"/>
      <c r="DH36" s="13"/>
      <c r="DI36" s="13"/>
    </row>
    <row r="37" spans="2:113" ht="18" customHeight="1" x14ac:dyDescent="0.4">
      <c r="B37" s="27">
        <f t="shared" si="6"/>
        <v>26</v>
      </c>
      <c r="C37" s="28"/>
      <c r="D37" s="28"/>
      <c r="E37" s="29" t="s">
        <v>81</v>
      </c>
      <c r="F37" s="30"/>
      <c r="G37" s="31">
        <v>5</v>
      </c>
      <c r="H37" s="43"/>
      <c r="I37" s="32">
        <f t="shared" si="10"/>
        <v>0</v>
      </c>
      <c r="J37" s="33">
        <f ca="1">TODAY()+30</f>
        <v>44311</v>
      </c>
      <c r="K37" s="33">
        <f ca="1">TODAY()+35</f>
        <v>44316</v>
      </c>
      <c r="L37" s="34"/>
      <c r="M37" s="34"/>
      <c r="N37" s="44"/>
      <c r="O37" s="36"/>
      <c r="P37" s="36"/>
      <c r="Q37" s="36"/>
      <c r="R37" s="36"/>
      <c r="S37" s="36"/>
      <c r="T37" s="38"/>
      <c r="U37" s="38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8"/>
      <c r="CZ37" s="38"/>
      <c r="DA37" s="13"/>
      <c r="DB37" s="13"/>
      <c r="DC37" s="13"/>
      <c r="DD37" s="13"/>
      <c r="DE37" s="13"/>
      <c r="DF37" s="13"/>
      <c r="DG37" s="13"/>
      <c r="DH37" s="13"/>
      <c r="DI37" s="13"/>
    </row>
    <row r="38" spans="2:113" ht="18" customHeight="1" x14ac:dyDescent="0.4">
      <c r="B38" s="27">
        <f t="shared" si="6"/>
        <v>27</v>
      </c>
      <c r="C38" s="28"/>
      <c r="D38" s="29"/>
      <c r="E38" s="29" t="s">
        <v>82</v>
      </c>
      <c r="F38" s="30"/>
      <c r="G38" s="31">
        <v>5</v>
      </c>
      <c r="H38" s="45"/>
      <c r="I38" s="32">
        <f t="shared" si="10"/>
        <v>0</v>
      </c>
      <c r="J38" s="33">
        <f ca="1">TODAY()-1</f>
        <v>44280</v>
      </c>
      <c r="K38" s="33">
        <f ca="1">TODAY()+5</f>
        <v>44286</v>
      </c>
      <c r="L38" s="46"/>
      <c r="M38" s="46"/>
      <c r="N38" s="36"/>
      <c r="O38" s="36"/>
      <c r="P38" s="36"/>
      <c r="Q38" s="36"/>
      <c r="R38" s="38"/>
      <c r="S38" s="38"/>
      <c r="T38" s="52"/>
      <c r="U38" s="5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8"/>
      <c r="CZ38" s="38"/>
      <c r="DA38" s="13"/>
      <c r="DB38" s="13"/>
      <c r="DC38" s="13"/>
      <c r="DD38" s="13"/>
      <c r="DE38" s="13"/>
      <c r="DF38" s="13"/>
      <c r="DG38" s="13"/>
      <c r="DH38" s="13"/>
      <c r="DI38" s="13"/>
    </row>
    <row r="39" spans="2:113" ht="18" customHeight="1" x14ac:dyDescent="0.4">
      <c r="B39" s="27">
        <f t="shared" si="6"/>
        <v>28</v>
      </c>
      <c r="C39" s="28"/>
      <c r="D39" s="29"/>
      <c r="E39" s="29" t="s">
        <v>83</v>
      </c>
      <c r="F39" s="30"/>
      <c r="G39" s="31">
        <v>20</v>
      </c>
      <c r="H39" s="45">
        <v>15</v>
      </c>
      <c r="I39" s="32">
        <f t="shared" si="10"/>
        <v>0.75</v>
      </c>
      <c r="J39" s="33">
        <f ca="1">TODAY()-13</f>
        <v>44268</v>
      </c>
      <c r="K39" s="33">
        <f ca="1">TODAY()+18</f>
        <v>44299</v>
      </c>
      <c r="L39" s="46"/>
      <c r="M39" s="46"/>
      <c r="N39" s="41"/>
      <c r="O39" s="36"/>
      <c r="P39" s="36"/>
      <c r="Q39" s="41"/>
      <c r="R39" s="38"/>
      <c r="S39" s="38"/>
      <c r="T39" s="38"/>
      <c r="U39" s="38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37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8"/>
      <c r="CZ39" s="38"/>
      <c r="DA39" s="13"/>
      <c r="DB39" s="13"/>
      <c r="DC39" s="13"/>
      <c r="DD39" s="13"/>
      <c r="DE39" s="13"/>
      <c r="DF39" s="13"/>
      <c r="DG39" s="13"/>
      <c r="DH39" s="13"/>
      <c r="DI39" s="13"/>
    </row>
    <row r="40" spans="2:113" ht="18" customHeight="1" x14ac:dyDescent="0.4">
      <c r="B40" s="27">
        <f t="shared" si="6"/>
        <v>29</v>
      </c>
      <c r="C40" s="28"/>
      <c r="D40" s="28"/>
      <c r="E40" s="29" t="s">
        <v>84</v>
      </c>
      <c r="F40" s="30"/>
      <c r="G40" s="31">
        <v>5</v>
      </c>
      <c r="H40" s="43">
        <v>3</v>
      </c>
      <c r="I40" s="32">
        <f t="shared" si="10"/>
        <v>0.6</v>
      </c>
      <c r="J40" s="33">
        <f t="shared" ca="1" si="9"/>
        <v>44280</v>
      </c>
      <c r="K40" s="33">
        <f t="shared" ca="1" si="8"/>
        <v>44286</v>
      </c>
      <c r="L40" s="34"/>
      <c r="M40" s="34"/>
      <c r="N40" s="36"/>
      <c r="O40" s="36"/>
      <c r="P40" s="36"/>
      <c r="Q40" s="36"/>
      <c r="R40" s="38"/>
      <c r="S40" s="38"/>
      <c r="T40" s="38"/>
      <c r="U40" s="38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8"/>
      <c r="CZ40" s="38"/>
      <c r="DA40" s="13"/>
      <c r="DB40" s="13"/>
      <c r="DC40" s="13"/>
      <c r="DD40" s="13"/>
      <c r="DE40" s="13"/>
      <c r="DF40" s="13"/>
      <c r="DG40" s="13"/>
      <c r="DH40" s="13"/>
      <c r="DI40" s="13"/>
    </row>
    <row r="41" spans="2:113" ht="18" customHeight="1" x14ac:dyDescent="0.4">
      <c r="B41" s="27">
        <f t="shared" si="6"/>
        <v>30</v>
      </c>
      <c r="C41" s="28"/>
      <c r="D41" s="28"/>
      <c r="E41" s="29" t="s">
        <v>85</v>
      </c>
      <c r="F41" s="30"/>
      <c r="G41" s="31">
        <v>5</v>
      </c>
      <c r="H41" s="39">
        <v>1</v>
      </c>
      <c r="I41" s="32">
        <f t="shared" si="10"/>
        <v>0.2</v>
      </c>
      <c r="J41" s="33">
        <v>44265</v>
      </c>
      <c r="K41" s="33">
        <v>44266</v>
      </c>
      <c r="L41" s="34"/>
      <c r="M41" s="34"/>
      <c r="N41" s="47"/>
      <c r="O41" s="36"/>
      <c r="P41" s="36"/>
      <c r="Q41" s="36"/>
      <c r="R41" s="38"/>
      <c r="S41" s="38"/>
      <c r="T41" s="38"/>
      <c r="U41" s="38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8"/>
      <c r="CZ41" s="38"/>
      <c r="DA41" s="13"/>
      <c r="DB41" s="13"/>
      <c r="DC41" s="13"/>
      <c r="DD41" s="13"/>
      <c r="DE41" s="13"/>
      <c r="DF41" s="13"/>
      <c r="DG41" s="13"/>
      <c r="DH41" s="13"/>
      <c r="DI41" s="13"/>
    </row>
    <row r="42" spans="2:113" ht="18" customHeight="1" x14ac:dyDescent="0.4">
      <c r="B42" s="27">
        <f t="shared" si="6"/>
        <v>31</v>
      </c>
      <c r="C42" s="28"/>
      <c r="D42" s="28"/>
      <c r="E42" s="29" t="s">
        <v>86</v>
      </c>
      <c r="F42" s="30"/>
      <c r="G42" s="31">
        <v>5</v>
      </c>
      <c r="H42" s="43"/>
      <c r="I42" s="32">
        <f t="shared" si="10"/>
        <v>0</v>
      </c>
      <c r="J42" s="33">
        <v>44278</v>
      </c>
      <c r="K42" s="33">
        <v>44279</v>
      </c>
      <c r="L42" s="34"/>
      <c r="M42" s="34"/>
      <c r="N42" s="36"/>
      <c r="O42" s="36"/>
      <c r="P42" s="36"/>
      <c r="Q42" s="36"/>
      <c r="R42" s="38"/>
      <c r="S42" s="38"/>
      <c r="T42" s="53"/>
      <c r="U42" s="53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8"/>
      <c r="CZ42" s="38"/>
      <c r="DA42" s="13"/>
      <c r="DB42" s="13"/>
      <c r="DC42" s="13"/>
      <c r="DD42" s="13"/>
      <c r="DE42" s="13"/>
      <c r="DF42" s="13"/>
      <c r="DG42" s="13"/>
      <c r="DH42" s="13"/>
      <c r="DI42" s="13"/>
    </row>
    <row r="43" spans="2:113" ht="18" customHeight="1" x14ac:dyDescent="0.4">
      <c r="B43" s="27">
        <f t="shared" si="6"/>
        <v>32</v>
      </c>
      <c r="C43" s="28"/>
      <c r="D43" s="29"/>
      <c r="E43" s="29" t="s">
        <v>87</v>
      </c>
      <c r="F43" s="30"/>
      <c r="G43" s="31">
        <v>5</v>
      </c>
      <c r="H43" s="39">
        <v>2</v>
      </c>
      <c r="I43" s="32">
        <f t="shared" si="10"/>
        <v>0.4</v>
      </c>
      <c r="J43" s="33">
        <f t="shared" ca="1" si="9"/>
        <v>44280</v>
      </c>
      <c r="K43" s="33">
        <f t="shared" ca="1" si="8"/>
        <v>44286</v>
      </c>
      <c r="L43" s="34"/>
      <c r="M43" s="34"/>
      <c r="N43" s="44"/>
      <c r="O43" s="36"/>
      <c r="P43" s="36"/>
      <c r="Q43" s="36"/>
      <c r="R43" s="38"/>
      <c r="S43" s="38"/>
      <c r="T43" s="38"/>
      <c r="U43" s="38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8"/>
      <c r="CZ43" s="38"/>
      <c r="DA43" s="13"/>
      <c r="DB43" s="13"/>
      <c r="DC43" s="13"/>
      <c r="DD43" s="13"/>
      <c r="DE43" s="13"/>
      <c r="DF43" s="13"/>
      <c r="DG43" s="13"/>
      <c r="DH43" s="13"/>
      <c r="DI43" s="13"/>
    </row>
    <row r="44" spans="2:113" ht="18" customHeight="1" x14ac:dyDescent="0.4">
      <c r="B44" s="27">
        <f t="shared" si="6"/>
        <v>33</v>
      </c>
      <c r="C44" s="28"/>
      <c r="D44" s="29"/>
      <c r="E44" s="29" t="s">
        <v>88</v>
      </c>
      <c r="F44" s="30"/>
      <c r="G44" s="31">
        <v>10</v>
      </c>
      <c r="H44" s="43">
        <v>1.08</v>
      </c>
      <c r="I44" s="32">
        <f t="shared" si="10"/>
        <v>0.10800000000000001</v>
      </c>
      <c r="J44" s="33">
        <f ca="1">TODAY()-28</f>
        <v>44253</v>
      </c>
      <c r="K44" s="33">
        <f ca="1">TODAY()</f>
        <v>44281</v>
      </c>
      <c r="L44" s="34"/>
      <c r="M44" s="34"/>
      <c r="N44" s="54"/>
      <c r="O44" s="54"/>
      <c r="P44" s="54"/>
      <c r="Q44" s="54"/>
      <c r="R44" s="38"/>
      <c r="S44" s="38"/>
      <c r="T44" s="38"/>
      <c r="U44" s="38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8"/>
      <c r="CZ44" s="38"/>
      <c r="DA44" s="13"/>
      <c r="DB44" s="13"/>
      <c r="DC44" s="13"/>
      <c r="DD44" s="13"/>
      <c r="DE44" s="13"/>
      <c r="DF44" s="13"/>
      <c r="DG44" s="13"/>
      <c r="DH44" s="13"/>
      <c r="DI44" s="13"/>
    </row>
    <row r="45" spans="2:113" ht="18" customHeight="1" x14ac:dyDescent="0.4">
      <c r="B45" s="27">
        <f t="shared" si="6"/>
        <v>34</v>
      </c>
      <c r="C45" s="28"/>
      <c r="D45" s="29"/>
      <c r="E45" s="29" t="s">
        <v>89</v>
      </c>
      <c r="F45" s="30"/>
      <c r="G45" s="31">
        <v>10</v>
      </c>
      <c r="H45" s="43">
        <v>9.9</v>
      </c>
      <c r="I45" s="32">
        <v>1</v>
      </c>
      <c r="J45" s="33">
        <f ca="1">TODAY()</f>
        <v>44281</v>
      </c>
      <c r="K45" s="33">
        <f ca="1">TODAY()+40</f>
        <v>44321</v>
      </c>
      <c r="L45" s="34"/>
      <c r="M45" s="34"/>
      <c r="N45" s="54"/>
      <c r="O45" s="54"/>
      <c r="P45" s="54"/>
      <c r="Q45" s="54"/>
      <c r="R45" s="38"/>
      <c r="S45" s="38"/>
      <c r="T45" s="54"/>
      <c r="U45" s="54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8"/>
      <c r="CZ45" s="38"/>
      <c r="DA45" s="13"/>
      <c r="DB45" s="13"/>
      <c r="DC45" s="13"/>
      <c r="DD45" s="13"/>
      <c r="DE45" s="13"/>
      <c r="DF45" s="13"/>
      <c r="DG45" s="13"/>
      <c r="DH45" s="13"/>
      <c r="DI45" s="13"/>
    </row>
    <row r="46" spans="2:113" ht="18" customHeight="1" x14ac:dyDescent="0.4">
      <c r="B46" s="27">
        <f t="shared" si="6"/>
        <v>35</v>
      </c>
      <c r="C46" s="28"/>
      <c r="D46" s="29"/>
      <c r="E46" s="29" t="s">
        <v>90</v>
      </c>
      <c r="F46" s="30"/>
      <c r="G46" s="31">
        <v>5</v>
      </c>
      <c r="H46" s="39">
        <v>5</v>
      </c>
      <c r="I46" s="32">
        <f t="shared" ref="I46:I109" si="12">IF(G46&gt;0,H46/G46,"")</f>
        <v>1</v>
      </c>
      <c r="J46" s="33">
        <f ca="1">TODAY()</f>
        <v>44281</v>
      </c>
      <c r="K46" s="33">
        <f ca="1">TODAY()+5</f>
        <v>44286</v>
      </c>
      <c r="L46" s="40"/>
      <c r="M46" s="40"/>
      <c r="N46" s="44"/>
      <c r="O46" s="36"/>
      <c r="P46" s="36"/>
      <c r="Q46" s="36"/>
      <c r="R46" s="36"/>
      <c r="S46" s="36"/>
      <c r="T46" s="38"/>
      <c r="U46" s="38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8"/>
      <c r="CZ46" s="38"/>
      <c r="DA46" s="13"/>
      <c r="DB46" s="13"/>
      <c r="DC46" s="13"/>
      <c r="DD46" s="13"/>
      <c r="DE46" s="13"/>
      <c r="DF46" s="13"/>
      <c r="DG46" s="13"/>
      <c r="DH46" s="13"/>
      <c r="DI46" s="13"/>
    </row>
    <row r="47" spans="2:113" ht="18" customHeight="1" x14ac:dyDescent="0.4">
      <c r="B47" s="27">
        <f t="shared" si="6"/>
        <v>36</v>
      </c>
      <c r="C47" s="28"/>
      <c r="D47" s="29"/>
      <c r="E47" s="29" t="s">
        <v>91</v>
      </c>
      <c r="F47" s="30"/>
      <c r="G47" s="31">
        <v>5</v>
      </c>
      <c r="H47" s="39">
        <v>3</v>
      </c>
      <c r="I47" s="32">
        <f t="shared" si="12"/>
        <v>0.6</v>
      </c>
      <c r="J47" s="33">
        <f ca="1">TODAY()+6</f>
        <v>44287</v>
      </c>
      <c r="K47" s="33">
        <f ca="1">TODAY()+11</f>
        <v>44292</v>
      </c>
      <c r="L47" s="40"/>
      <c r="M47" s="40"/>
      <c r="N47" s="36"/>
      <c r="O47" s="36"/>
      <c r="P47" s="36"/>
      <c r="Q47" s="36"/>
      <c r="R47" s="38"/>
      <c r="S47" s="38"/>
      <c r="T47" s="38"/>
      <c r="U47" s="38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50"/>
      <c r="BG47" s="50"/>
      <c r="BH47" s="36"/>
      <c r="BI47" s="36"/>
      <c r="BJ47" s="50"/>
      <c r="BK47" s="50"/>
      <c r="BL47" s="50"/>
      <c r="BM47" s="50"/>
      <c r="BN47" s="50"/>
      <c r="BO47" s="36"/>
      <c r="BP47" s="36"/>
      <c r="BQ47" s="39"/>
      <c r="BR47" s="39"/>
      <c r="BS47" s="39"/>
      <c r="BT47" s="39"/>
      <c r="BU47" s="39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8"/>
      <c r="CZ47" s="38"/>
      <c r="DA47" s="13"/>
      <c r="DB47" s="13"/>
      <c r="DC47" s="13"/>
      <c r="DD47" s="13"/>
      <c r="DE47" s="13"/>
      <c r="DF47" s="13"/>
      <c r="DG47" s="13"/>
      <c r="DH47" s="13"/>
      <c r="DI47" s="13"/>
    </row>
    <row r="48" spans="2:113" ht="18" customHeight="1" x14ac:dyDescent="0.4">
      <c r="B48" s="27">
        <f t="shared" si="6"/>
        <v>37</v>
      </c>
      <c r="C48" s="28"/>
      <c r="D48" s="29"/>
      <c r="E48" s="29" t="s">
        <v>92</v>
      </c>
      <c r="F48" s="30"/>
      <c r="G48" s="31">
        <v>5</v>
      </c>
      <c r="H48" s="39">
        <v>1</v>
      </c>
      <c r="I48" s="32">
        <f t="shared" si="12"/>
        <v>0.2</v>
      </c>
      <c r="J48" s="33">
        <f ca="1">TODAY()+12</f>
        <v>44293</v>
      </c>
      <c r="K48" s="33">
        <f ca="1">TODAY()+16</f>
        <v>44297</v>
      </c>
      <c r="L48" s="40"/>
      <c r="M48" s="40"/>
      <c r="N48" s="36"/>
      <c r="O48" s="41"/>
      <c r="P48" s="41"/>
      <c r="Q48" s="41"/>
      <c r="R48" s="38"/>
      <c r="S48" s="38"/>
      <c r="T48" s="38"/>
      <c r="U48" s="38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8"/>
      <c r="CZ48" s="38"/>
      <c r="DA48" s="13"/>
      <c r="DB48" s="13"/>
      <c r="DC48" s="13"/>
      <c r="DD48" s="13"/>
      <c r="DE48" s="13"/>
      <c r="DF48" s="13"/>
      <c r="DG48" s="13"/>
      <c r="DH48" s="13"/>
      <c r="DI48" s="13"/>
    </row>
    <row r="49" spans="2:113" ht="18" customHeight="1" x14ac:dyDescent="0.4">
      <c r="B49" s="27">
        <f t="shared" si="6"/>
        <v>38</v>
      </c>
      <c r="C49" s="28"/>
      <c r="D49" s="29"/>
      <c r="E49" s="29" t="s">
        <v>93</v>
      </c>
      <c r="F49" s="30"/>
      <c r="G49" s="31">
        <v>5</v>
      </c>
      <c r="H49" s="39"/>
      <c r="I49" s="32">
        <f t="shared" si="12"/>
        <v>0</v>
      </c>
      <c r="J49" s="33">
        <v>44279</v>
      </c>
      <c r="K49" s="33">
        <v>44280</v>
      </c>
      <c r="L49" s="34"/>
      <c r="M49" s="34"/>
      <c r="N49" s="36"/>
      <c r="O49" s="36"/>
      <c r="P49" s="36"/>
      <c r="Q49" s="36"/>
      <c r="R49" s="38"/>
      <c r="S49" s="38"/>
      <c r="T49" s="52"/>
      <c r="U49" s="52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8"/>
      <c r="CZ49" s="38"/>
      <c r="DA49" s="13"/>
      <c r="DB49" s="13"/>
      <c r="DC49" s="13"/>
      <c r="DD49" s="13"/>
      <c r="DE49" s="13"/>
      <c r="DF49" s="13"/>
      <c r="DG49" s="13"/>
      <c r="DH49" s="13"/>
      <c r="DI49" s="13"/>
    </row>
    <row r="50" spans="2:113" ht="18" customHeight="1" x14ac:dyDescent="0.4">
      <c r="B50" s="27">
        <f t="shared" si="6"/>
        <v>39</v>
      </c>
      <c r="C50" s="28"/>
      <c r="D50" s="29"/>
      <c r="E50" s="29" t="s">
        <v>94</v>
      </c>
      <c r="F50" s="30"/>
      <c r="G50" s="31">
        <v>5</v>
      </c>
      <c r="H50" s="39"/>
      <c r="I50" s="32">
        <f t="shared" si="12"/>
        <v>0</v>
      </c>
      <c r="J50" s="33">
        <f t="shared" ref="J49:J55" ca="1" si="13">TODAY()+17</f>
        <v>44298</v>
      </c>
      <c r="K50" s="33">
        <f t="shared" ref="K49:K55" ca="1" si="14">TODAY()+20</f>
        <v>44301</v>
      </c>
      <c r="L50" s="40"/>
      <c r="M50" s="40"/>
      <c r="N50" s="36"/>
      <c r="O50" s="36"/>
      <c r="P50" s="36"/>
      <c r="Q50" s="36"/>
      <c r="R50" s="38"/>
      <c r="S50" s="38"/>
      <c r="T50" s="52"/>
      <c r="U50" s="52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8"/>
      <c r="CZ50" s="38"/>
      <c r="DA50" s="13"/>
      <c r="DB50" s="13"/>
      <c r="DC50" s="13"/>
      <c r="DD50" s="13"/>
      <c r="DE50" s="13"/>
      <c r="DF50" s="13"/>
      <c r="DG50" s="13"/>
      <c r="DH50" s="13"/>
      <c r="DI50" s="13"/>
    </row>
    <row r="51" spans="2:113" ht="18" customHeight="1" x14ac:dyDescent="0.4">
      <c r="B51" s="27">
        <f t="shared" si="6"/>
        <v>40</v>
      </c>
      <c r="C51" s="28"/>
      <c r="D51" s="29"/>
      <c r="E51" s="29" t="s">
        <v>95</v>
      </c>
      <c r="F51" s="30"/>
      <c r="G51" s="31">
        <v>5</v>
      </c>
      <c r="H51" s="39"/>
      <c r="I51" s="32">
        <f t="shared" si="12"/>
        <v>0</v>
      </c>
      <c r="J51" s="33">
        <f t="shared" ca="1" si="13"/>
        <v>44298</v>
      </c>
      <c r="K51" s="33">
        <f t="shared" ca="1" si="14"/>
        <v>44301</v>
      </c>
      <c r="L51" s="34"/>
      <c r="M51" s="34"/>
      <c r="N51" s="48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 s="49"/>
    </row>
    <row r="52" spans="2:113" ht="18" customHeight="1" x14ac:dyDescent="0.4">
      <c r="B52" s="27">
        <f t="shared" si="6"/>
        <v>41</v>
      </c>
      <c r="C52" s="28"/>
      <c r="D52" s="29"/>
      <c r="E52" s="29" t="s">
        <v>96</v>
      </c>
      <c r="F52" s="30"/>
      <c r="G52" s="31">
        <v>5</v>
      </c>
      <c r="H52" s="39"/>
      <c r="I52" s="32">
        <f t="shared" si="12"/>
        <v>0</v>
      </c>
      <c r="J52" s="33">
        <f t="shared" ca="1" si="13"/>
        <v>44298</v>
      </c>
      <c r="K52" s="33">
        <f t="shared" ca="1" si="14"/>
        <v>44301</v>
      </c>
      <c r="L52" s="46"/>
      <c r="M52" s="46"/>
      <c r="N52" s="48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  <c r="CW52" s="49"/>
      <c r="CX52" s="49"/>
      <c r="CY52" s="49"/>
      <c r="CZ52" s="49"/>
    </row>
    <row r="53" spans="2:113" ht="18" customHeight="1" x14ac:dyDescent="0.4">
      <c r="B53" s="27">
        <f t="shared" si="6"/>
        <v>42</v>
      </c>
      <c r="C53" s="28"/>
      <c r="D53" s="29"/>
      <c r="E53" s="29" t="s">
        <v>97</v>
      </c>
      <c r="F53" s="30"/>
      <c r="G53" s="31">
        <v>5</v>
      </c>
      <c r="H53" s="39"/>
      <c r="I53" s="32">
        <f t="shared" si="12"/>
        <v>0</v>
      </c>
      <c r="J53" s="33">
        <f t="shared" ca="1" si="13"/>
        <v>44298</v>
      </c>
      <c r="K53" s="33">
        <f t="shared" ca="1" si="14"/>
        <v>44301</v>
      </c>
      <c r="L53" s="40"/>
      <c r="M53" s="40"/>
      <c r="N53" s="44"/>
      <c r="O53" s="36"/>
      <c r="P53" s="36"/>
      <c r="Q53" s="36"/>
      <c r="R53" s="36"/>
      <c r="S53" s="36"/>
      <c r="T53" s="38"/>
      <c r="U53" s="38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8"/>
      <c r="CZ53" s="38"/>
      <c r="DA53" s="13"/>
      <c r="DB53" s="13"/>
      <c r="DC53" s="13"/>
      <c r="DD53" s="13"/>
      <c r="DE53" s="13"/>
      <c r="DF53" s="13"/>
      <c r="DG53" s="13"/>
      <c r="DH53" s="13"/>
      <c r="DI53" s="13"/>
    </row>
    <row r="54" spans="2:113" ht="18" customHeight="1" x14ac:dyDescent="0.4">
      <c r="B54" s="27">
        <f t="shared" si="6"/>
        <v>43</v>
      </c>
      <c r="C54" s="28"/>
      <c r="D54" s="28"/>
      <c r="E54" s="29" t="s">
        <v>98</v>
      </c>
      <c r="F54" s="30"/>
      <c r="G54" s="31">
        <v>5</v>
      </c>
      <c r="H54" s="39"/>
      <c r="I54" s="32">
        <f t="shared" si="12"/>
        <v>0</v>
      </c>
      <c r="J54" s="33">
        <f t="shared" ca="1" si="13"/>
        <v>44298</v>
      </c>
      <c r="K54" s="33">
        <f t="shared" ca="1" si="14"/>
        <v>44301</v>
      </c>
      <c r="L54" s="40"/>
      <c r="M54" s="40"/>
      <c r="N54" s="48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49"/>
      <c r="CZ54" s="49"/>
    </row>
    <row r="55" spans="2:113" ht="18" customHeight="1" x14ac:dyDescent="0.4">
      <c r="B55" s="27">
        <f t="shared" si="6"/>
        <v>44</v>
      </c>
      <c r="C55" s="28"/>
      <c r="D55" s="28"/>
      <c r="E55" s="29" t="s">
        <v>99</v>
      </c>
      <c r="F55" s="30"/>
      <c r="G55" s="31">
        <v>5</v>
      </c>
      <c r="H55" s="39"/>
      <c r="I55" s="32">
        <v>0.2</v>
      </c>
      <c r="J55" s="33">
        <f t="shared" ca="1" si="13"/>
        <v>44298</v>
      </c>
      <c r="K55" s="33">
        <f t="shared" ca="1" si="14"/>
        <v>44301</v>
      </c>
      <c r="L55" s="34"/>
      <c r="M55" s="34"/>
      <c r="N55" s="48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49"/>
      <c r="CZ55" s="49"/>
    </row>
    <row r="56" spans="2:113" ht="18" customHeight="1" x14ac:dyDescent="0.4">
      <c r="B56" s="27">
        <f t="shared" si="6"/>
        <v>45</v>
      </c>
      <c r="C56" s="28"/>
      <c r="D56" s="28"/>
      <c r="E56" s="29"/>
      <c r="F56" s="30"/>
      <c r="G56" s="31"/>
      <c r="H56" s="45"/>
      <c r="I56" s="32" t="str">
        <f t="shared" si="12"/>
        <v/>
      </c>
      <c r="J56" s="33"/>
      <c r="K56" s="33"/>
      <c r="L56" s="46"/>
      <c r="M56" s="46"/>
      <c r="N56" s="48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  <c r="CW56" s="49"/>
      <c r="CX56" s="49"/>
      <c r="CY56" s="49"/>
      <c r="CZ56" s="49"/>
    </row>
    <row r="57" spans="2:113" ht="18" customHeight="1" x14ac:dyDescent="0.4">
      <c r="B57" s="27">
        <f t="shared" si="6"/>
        <v>46</v>
      </c>
      <c r="C57" s="28"/>
      <c r="D57" s="28"/>
      <c r="E57" s="29"/>
      <c r="F57" s="30"/>
      <c r="G57" s="31"/>
      <c r="H57" s="45"/>
      <c r="I57" s="32" t="str">
        <f t="shared" si="12"/>
        <v/>
      </c>
      <c r="J57" s="33"/>
      <c r="K57" s="33"/>
      <c r="L57" s="46"/>
      <c r="M57" s="46"/>
      <c r="N57" s="36"/>
      <c r="O57" s="36"/>
      <c r="P57" s="36"/>
      <c r="Q57" s="36"/>
      <c r="R57" s="38"/>
      <c r="S57" s="38"/>
      <c r="T57" s="38"/>
      <c r="U57" s="38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8"/>
      <c r="CZ57" s="38"/>
      <c r="DA57" s="13"/>
      <c r="DB57" s="13"/>
      <c r="DC57" s="13"/>
      <c r="DD57" s="13"/>
      <c r="DE57" s="13"/>
      <c r="DF57" s="13"/>
      <c r="DG57" s="13"/>
      <c r="DH57" s="13"/>
      <c r="DI57" s="13"/>
    </row>
    <row r="58" spans="2:113" ht="18" customHeight="1" x14ac:dyDescent="0.4">
      <c r="B58" s="27">
        <f t="shared" si="6"/>
        <v>47</v>
      </c>
      <c r="C58" s="28"/>
      <c r="D58" s="29"/>
      <c r="E58" s="29"/>
      <c r="F58" s="30"/>
      <c r="G58" s="31"/>
      <c r="H58" s="45"/>
      <c r="I58" s="32" t="str">
        <f t="shared" si="12"/>
        <v/>
      </c>
      <c r="J58" s="33"/>
      <c r="K58" s="33"/>
      <c r="L58" s="46"/>
      <c r="M58" s="46"/>
      <c r="N58" s="36"/>
      <c r="O58" s="36"/>
      <c r="P58" s="36"/>
      <c r="Q58" s="36"/>
      <c r="R58" s="38"/>
      <c r="S58" s="38"/>
      <c r="T58" s="38"/>
      <c r="U58" s="38"/>
      <c r="V58" s="55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0"/>
      <c r="BG58" s="50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8"/>
      <c r="CZ58" s="38"/>
      <c r="DA58" s="13"/>
      <c r="DB58" s="13"/>
      <c r="DC58" s="13"/>
      <c r="DD58" s="13"/>
      <c r="DE58" s="13"/>
      <c r="DF58" s="13"/>
      <c r="DG58" s="13"/>
      <c r="DH58" s="13"/>
      <c r="DI58" s="13"/>
    </row>
    <row r="59" spans="2:113" ht="18" customHeight="1" x14ac:dyDescent="0.4">
      <c r="B59" s="27">
        <f t="shared" si="6"/>
        <v>48</v>
      </c>
      <c r="C59" s="28"/>
      <c r="D59" s="29"/>
      <c r="E59" s="29"/>
      <c r="F59" s="30"/>
      <c r="G59" s="31"/>
      <c r="H59" s="45"/>
      <c r="I59" s="32" t="str">
        <f t="shared" si="12"/>
        <v/>
      </c>
      <c r="J59" s="33"/>
      <c r="K59" s="33"/>
      <c r="L59" s="46"/>
      <c r="M59" s="46"/>
      <c r="N59" s="36"/>
      <c r="O59" s="36"/>
      <c r="P59" s="36"/>
      <c r="Q59" s="36"/>
      <c r="R59" s="38"/>
      <c r="S59" s="38"/>
      <c r="T59" s="52"/>
      <c r="U59" s="52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8"/>
      <c r="CZ59" s="38"/>
      <c r="DA59" s="13"/>
      <c r="DB59" s="13"/>
      <c r="DC59" s="13"/>
      <c r="DD59" s="13"/>
      <c r="DE59" s="13"/>
      <c r="DF59" s="13"/>
      <c r="DG59" s="13"/>
      <c r="DH59" s="13"/>
      <c r="DI59" s="13"/>
    </row>
    <row r="60" spans="2:113" ht="18" customHeight="1" x14ac:dyDescent="0.4">
      <c r="B60" s="27">
        <f t="shared" si="6"/>
        <v>49</v>
      </c>
      <c r="C60" s="28"/>
      <c r="D60" s="29"/>
      <c r="E60" s="29"/>
      <c r="F60" s="30"/>
      <c r="G60" s="31"/>
      <c r="H60" s="43"/>
      <c r="I60" s="32" t="str">
        <f t="shared" si="12"/>
        <v/>
      </c>
      <c r="J60" s="33"/>
      <c r="K60" s="33"/>
      <c r="L60" s="57"/>
      <c r="M60" s="57"/>
      <c r="N60" s="47"/>
      <c r="O60" s="36"/>
      <c r="P60" s="36"/>
      <c r="Q60" s="36"/>
      <c r="R60" s="38"/>
      <c r="S60" s="38"/>
      <c r="T60" s="38"/>
      <c r="U60" s="38"/>
      <c r="V60" s="38"/>
      <c r="W60" s="38"/>
      <c r="X60" s="38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8"/>
      <c r="CZ60" s="38"/>
      <c r="DA60" s="13"/>
      <c r="DB60" s="13"/>
      <c r="DC60" s="13"/>
      <c r="DD60" s="13"/>
      <c r="DE60" s="13"/>
      <c r="DF60" s="13"/>
      <c r="DG60" s="13"/>
      <c r="DH60" s="13"/>
      <c r="DI60" s="13"/>
    </row>
    <row r="61" spans="2:113" ht="18" customHeight="1" x14ac:dyDescent="0.4">
      <c r="B61" s="27">
        <f t="shared" si="6"/>
        <v>50</v>
      </c>
      <c r="C61" s="28"/>
      <c r="D61" s="29"/>
      <c r="E61" s="29"/>
      <c r="F61" s="30"/>
      <c r="G61" s="31"/>
      <c r="H61" s="45"/>
      <c r="I61" s="32" t="str">
        <f t="shared" si="12"/>
        <v/>
      </c>
      <c r="J61" s="33"/>
      <c r="K61" s="33"/>
      <c r="L61" s="46"/>
      <c r="M61" s="46"/>
      <c r="N61" s="48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  <c r="CW61" s="49"/>
      <c r="CX61" s="49"/>
      <c r="CY61" s="49"/>
      <c r="CZ61" s="49"/>
    </row>
    <row r="62" spans="2:113" ht="18" customHeight="1" x14ac:dyDescent="0.4">
      <c r="B62" s="27">
        <f>ROW()-11</f>
        <v>51</v>
      </c>
      <c r="C62" s="28"/>
      <c r="D62" s="28"/>
      <c r="E62" s="29"/>
      <c r="F62" s="30"/>
      <c r="G62" s="31"/>
      <c r="H62" s="31"/>
      <c r="I62" s="32" t="str">
        <f t="shared" si="12"/>
        <v/>
      </c>
      <c r="J62" s="33"/>
      <c r="K62" s="33"/>
      <c r="L62" s="34"/>
      <c r="M62" s="34"/>
      <c r="N62" s="35"/>
      <c r="O62" s="35"/>
      <c r="P62" s="35"/>
      <c r="Q62" s="35"/>
      <c r="R62" s="36"/>
      <c r="S62" s="36"/>
      <c r="T62" s="36"/>
      <c r="U62" s="36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8"/>
      <c r="CZ62" s="38"/>
      <c r="DA62" s="13"/>
      <c r="DB62" s="13"/>
      <c r="DC62" s="13"/>
      <c r="DD62" s="13"/>
      <c r="DE62" s="13"/>
      <c r="DF62" s="13"/>
      <c r="DG62" s="13"/>
      <c r="DH62" s="13"/>
      <c r="DI62" s="13"/>
    </row>
    <row r="63" spans="2:113" ht="18" customHeight="1" x14ac:dyDescent="0.4">
      <c r="B63" s="27">
        <f t="shared" si="6"/>
        <v>52</v>
      </c>
      <c r="C63" s="28"/>
      <c r="D63" s="28"/>
      <c r="E63" s="29"/>
      <c r="F63" s="30"/>
      <c r="G63" s="31"/>
      <c r="H63" s="39"/>
      <c r="I63" s="32" t="str">
        <f t="shared" si="12"/>
        <v/>
      </c>
      <c r="J63" s="33"/>
      <c r="K63" s="33"/>
      <c r="L63" s="40"/>
      <c r="M63" s="40"/>
      <c r="N63" s="36"/>
      <c r="O63" s="41"/>
      <c r="P63" s="41"/>
      <c r="Q63" s="41"/>
      <c r="R63" s="38"/>
      <c r="S63" s="38"/>
      <c r="T63" s="38"/>
      <c r="U63" s="38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8"/>
      <c r="CZ63" s="38"/>
      <c r="DA63" s="13"/>
      <c r="DB63" s="13"/>
      <c r="DC63" s="13"/>
      <c r="DD63" s="13"/>
      <c r="DE63" s="13"/>
      <c r="DF63" s="13"/>
      <c r="DG63" s="13"/>
      <c r="DH63" s="13"/>
      <c r="DI63" s="13"/>
    </row>
    <row r="64" spans="2:113" ht="18" customHeight="1" x14ac:dyDescent="0.4">
      <c r="B64" s="27">
        <f t="shared" si="6"/>
        <v>53</v>
      </c>
      <c r="C64" s="28"/>
      <c r="D64" s="28"/>
      <c r="E64" s="29"/>
      <c r="F64" s="30"/>
      <c r="G64" s="31"/>
      <c r="H64" s="43"/>
      <c r="I64" s="32" t="str">
        <f t="shared" si="12"/>
        <v/>
      </c>
      <c r="J64" s="33"/>
      <c r="K64" s="33"/>
      <c r="L64" s="40"/>
      <c r="M64" s="40"/>
      <c r="N64" s="44"/>
      <c r="O64" s="36"/>
      <c r="P64" s="36"/>
      <c r="Q64" s="36"/>
      <c r="R64" s="38"/>
      <c r="S64" s="38"/>
      <c r="T64" s="38"/>
      <c r="U64" s="38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8"/>
      <c r="CZ64" s="38"/>
      <c r="DA64" s="13"/>
      <c r="DB64" s="13"/>
      <c r="DC64" s="13"/>
      <c r="DD64" s="13"/>
      <c r="DE64" s="13"/>
      <c r="DF64" s="13"/>
      <c r="DG64" s="13"/>
      <c r="DH64" s="13"/>
      <c r="DI64" s="13"/>
    </row>
    <row r="65" spans="2:113" ht="18" customHeight="1" x14ac:dyDescent="0.4">
      <c r="B65" s="27">
        <f t="shared" si="6"/>
        <v>54</v>
      </c>
      <c r="C65" s="28"/>
      <c r="D65" s="29"/>
      <c r="E65" s="29"/>
      <c r="F65" s="30"/>
      <c r="G65" s="31"/>
      <c r="H65" s="45"/>
      <c r="I65" s="32" t="str">
        <f t="shared" si="12"/>
        <v/>
      </c>
      <c r="J65" s="33"/>
      <c r="K65" s="33"/>
      <c r="L65" s="46"/>
      <c r="M65" s="46"/>
      <c r="N65" s="44"/>
      <c r="O65" s="36"/>
      <c r="P65" s="36"/>
      <c r="Q65" s="36"/>
      <c r="R65" s="38"/>
      <c r="S65" s="38"/>
      <c r="T65" s="38"/>
      <c r="U65" s="38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8"/>
      <c r="CZ65" s="38"/>
      <c r="DA65" s="13"/>
      <c r="DB65" s="13"/>
      <c r="DC65" s="13"/>
      <c r="DD65" s="13"/>
      <c r="DE65" s="13"/>
      <c r="DF65" s="13"/>
      <c r="DG65" s="13"/>
      <c r="DH65" s="13"/>
      <c r="DI65" s="13"/>
    </row>
    <row r="66" spans="2:113" ht="18" customHeight="1" x14ac:dyDescent="0.4">
      <c r="B66" s="27">
        <f t="shared" si="6"/>
        <v>55</v>
      </c>
      <c r="C66" s="28"/>
      <c r="D66" s="28"/>
      <c r="E66" s="29"/>
      <c r="F66" s="30"/>
      <c r="G66" s="31"/>
      <c r="H66" s="39"/>
      <c r="I66" s="32" t="str">
        <f t="shared" si="12"/>
        <v/>
      </c>
      <c r="J66" s="33"/>
      <c r="K66" s="33"/>
      <c r="L66" s="34"/>
      <c r="M66" s="34"/>
      <c r="N66" s="47"/>
      <c r="O66" s="36"/>
      <c r="P66" s="36"/>
      <c r="Q66" s="36"/>
      <c r="R66" s="38"/>
      <c r="S66" s="38"/>
      <c r="T66" s="38"/>
      <c r="U66" s="38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8"/>
      <c r="CZ66" s="38"/>
      <c r="DA66" s="13"/>
      <c r="DB66" s="13"/>
      <c r="DC66" s="13"/>
      <c r="DD66" s="13"/>
      <c r="DE66" s="13"/>
      <c r="DF66" s="13"/>
      <c r="DG66" s="13"/>
      <c r="DH66" s="13"/>
      <c r="DI66" s="13"/>
    </row>
    <row r="67" spans="2:113" ht="18" customHeight="1" x14ac:dyDescent="0.4">
      <c r="B67" s="27">
        <f t="shared" si="6"/>
        <v>56</v>
      </c>
      <c r="C67" s="28"/>
      <c r="D67" s="28"/>
      <c r="E67" s="29"/>
      <c r="F67" s="30"/>
      <c r="G67" s="31"/>
      <c r="H67" s="43"/>
      <c r="I67" s="32" t="str">
        <f t="shared" si="12"/>
        <v/>
      </c>
      <c r="J67" s="33"/>
      <c r="K67" s="33"/>
      <c r="L67" s="40"/>
      <c r="M67" s="40"/>
      <c r="N67" s="48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  <c r="CW67" s="49"/>
      <c r="CX67" s="49"/>
      <c r="CY67" s="49"/>
      <c r="CZ67" s="49"/>
    </row>
    <row r="68" spans="2:113" ht="18" customHeight="1" x14ac:dyDescent="0.4">
      <c r="B68" s="27">
        <f t="shared" si="6"/>
        <v>57</v>
      </c>
      <c r="C68" s="28"/>
      <c r="D68" s="29"/>
      <c r="E68" s="29"/>
      <c r="F68" s="30"/>
      <c r="G68" s="31"/>
      <c r="H68" s="43"/>
      <c r="I68" s="32" t="str">
        <f t="shared" si="12"/>
        <v/>
      </c>
      <c r="J68" s="33"/>
      <c r="K68" s="33"/>
      <c r="L68" s="40"/>
      <c r="M68" s="40"/>
      <c r="N68" s="48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</row>
    <row r="69" spans="2:113" ht="18" customHeight="1" x14ac:dyDescent="0.4">
      <c r="B69" s="27">
        <f t="shared" si="6"/>
        <v>58</v>
      </c>
      <c r="C69" s="28"/>
      <c r="D69" s="29"/>
      <c r="E69" s="29"/>
      <c r="F69" s="30"/>
      <c r="G69" s="31"/>
      <c r="H69" s="39"/>
      <c r="I69" s="32" t="str">
        <f t="shared" si="12"/>
        <v/>
      </c>
      <c r="J69" s="33"/>
      <c r="K69" s="33"/>
      <c r="L69" s="40"/>
      <c r="M69" s="40"/>
      <c r="N69" s="36"/>
      <c r="O69" s="36"/>
      <c r="P69" s="36"/>
      <c r="Q69" s="36"/>
      <c r="R69" s="38"/>
      <c r="S69" s="38"/>
      <c r="T69" s="38"/>
      <c r="U69" s="38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8"/>
      <c r="CZ69" s="38"/>
      <c r="DA69" s="13"/>
      <c r="DB69" s="13"/>
      <c r="DC69" s="13"/>
      <c r="DD69" s="13"/>
      <c r="DE69" s="13"/>
      <c r="DF69" s="13"/>
      <c r="DG69" s="13"/>
      <c r="DH69" s="13"/>
      <c r="DI69" s="13"/>
    </row>
    <row r="70" spans="2:113" ht="18" customHeight="1" x14ac:dyDescent="0.4">
      <c r="B70" s="27">
        <f t="shared" si="6"/>
        <v>59</v>
      </c>
      <c r="C70" s="28"/>
      <c r="D70" s="29"/>
      <c r="E70" s="29"/>
      <c r="F70" s="30"/>
      <c r="G70" s="31"/>
      <c r="H70" s="43"/>
      <c r="I70" s="32" t="str">
        <f t="shared" si="12"/>
        <v/>
      </c>
      <c r="J70" s="33"/>
      <c r="K70" s="33"/>
      <c r="L70" s="40"/>
      <c r="M70" s="40"/>
      <c r="N70" s="44"/>
      <c r="O70" s="36"/>
      <c r="P70" s="36"/>
      <c r="Q70" s="36"/>
      <c r="R70" s="36"/>
      <c r="S70" s="36"/>
      <c r="T70" s="38"/>
      <c r="U70" s="38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8"/>
      <c r="CZ70" s="38"/>
      <c r="DA70" s="13"/>
      <c r="DB70" s="13"/>
      <c r="DC70" s="13"/>
      <c r="DD70" s="13"/>
      <c r="DE70" s="13"/>
      <c r="DF70" s="13"/>
      <c r="DG70" s="13"/>
      <c r="DH70" s="13"/>
      <c r="DI70" s="13"/>
    </row>
    <row r="71" spans="2:113" ht="18" customHeight="1" x14ac:dyDescent="0.4">
      <c r="B71" s="27">
        <f t="shared" si="6"/>
        <v>60</v>
      </c>
      <c r="C71" s="28"/>
      <c r="D71" s="28"/>
      <c r="E71" s="29"/>
      <c r="F71" s="30"/>
      <c r="G71" s="31"/>
      <c r="H71" s="39"/>
      <c r="I71" s="32" t="str">
        <f t="shared" si="12"/>
        <v/>
      </c>
      <c r="J71" s="33"/>
      <c r="K71" s="33"/>
      <c r="L71" s="40"/>
      <c r="M71" s="40"/>
      <c r="N71" s="41"/>
      <c r="O71" s="36"/>
      <c r="P71" s="36"/>
      <c r="Q71" s="41"/>
      <c r="R71" s="38"/>
      <c r="S71" s="38"/>
      <c r="T71" s="38"/>
      <c r="U71" s="38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8"/>
      <c r="CZ71" s="38"/>
      <c r="DA71" s="13"/>
      <c r="DB71" s="13"/>
      <c r="DC71" s="13"/>
      <c r="DD71" s="13"/>
      <c r="DE71" s="13"/>
      <c r="DF71" s="13"/>
      <c r="DG71" s="13"/>
      <c r="DH71" s="13"/>
      <c r="DI71" s="13"/>
    </row>
    <row r="72" spans="2:113" ht="18" customHeight="1" x14ac:dyDescent="0.4">
      <c r="B72" s="27">
        <f t="shared" si="6"/>
        <v>61</v>
      </c>
      <c r="C72" s="28"/>
      <c r="D72" s="28"/>
      <c r="E72" s="29"/>
      <c r="F72" s="30"/>
      <c r="G72" s="31"/>
      <c r="H72" s="39"/>
      <c r="I72" s="32" t="str">
        <f t="shared" si="12"/>
        <v/>
      </c>
      <c r="J72" s="33"/>
      <c r="K72" s="33"/>
      <c r="L72" s="40"/>
      <c r="M72" s="40"/>
      <c r="N72" s="36"/>
      <c r="O72" s="36"/>
      <c r="P72" s="36"/>
      <c r="Q72" s="36"/>
      <c r="R72" s="38"/>
      <c r="S72" s="38"/>
      <c r="T72" s="38"/>
      <c r="U72" s="38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6"/>
      <c r="BG72" s="36"/>
      <c r="BH72" s="36"/>
      <c r="BI72" s="36"/>
      <c r="BJ72" s="50"/>
      <c r="BK72" s="50"/>
      <c r="BL72" s="50"/>
      <c r="BM72" s="50"/>
      <c r="BN72" s="50"/>
      <c r="BO72" s="36"/>
      <c r="BP72" s="36"/>
      <c r="BQ72" s="39"/>
      <c r="BR72" s="39"/>
      <c r="BS72" s="39"/>
      <c r="BT72" s="39"/>
      <c r="BU72" s="39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8"/>
      <c r="CZ72" s="38"/>
      <c r="DA72" s="13"/>
      <c r="DB72" s="13"/>
      <c r="DC72" s="13"/>
      <c r="DD72" s="13"/>
      <c r="DE72" s="13"/>
      <c r="DF72" s="13"/>
      <c r="DG72" s="13"/>
      <c r="DH72" s="13"/>
      <c r="DI72" s="13"/>
    </row>
    <row r="73" spans="2:113" ht="18" customHeight="1" x14ac:dyDescent="0.4">
      <c r="B73" s="27">
        <f t="shared" si="6"/>
        <v>62</v>
      </c>
      <c r="C73" s="28"/>
      <c r="D73" s="28"/>
      <c r="E73" s="29"/>
      <c r="F73" s="30"/>
      <c r="G73" s="31"/>
      <c r="H73" s="43"/>
      <c r="I73" s="32" t="str">
        <f t="shared" si="12"/>
        <v/>
      </c>
      <c r="J73" s="33"/>
      <c r="K73" s="33"/>
      <c r="L73" s="40"/>
      <c r="M73" s="40"/>
      <c r="N73" s="47"/>
      <c r="O73" s="36"/>
      <c r="P73" s="36"/>
      <c r="Q73" s="36"/>
      <c r="R73" s="38"/>
      <c r="S73" s="38"/>
      <c r="T73" s="38"/>
      <c r="U73" s="38"/>
      <c r="V73" s="42"/>
      <c r="W73" s="42"/>
      <c r="X73" s="42"/>
      <c r="Y73" s="42"/>
      <c r="Z73" s="42"/>
      <c r="AA73" s="37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8"/>
      <c r="CZ73" s="38"/>
      <c r="DA73" s="13"/>
      <c r="DB73" s="13"/>
      <c r="DC73" s="13"/>
      <c r="DD73" s="13"/>
      <c r="DE73" s="13"/>
      <c r="DF73" s="13"/>
      <c r="DG73" s="13"/>
      <c r="DH73" s="13"/>
      <c r="DI73" s="13"/>
    </row>
    <row r="74" spans="2:113" ht="18" customHeight="1" x14ac:dyDescent="0.4">
      <c r="B74" s="27">
        <f t="shared" si="6"/>
        <v>63</v>
      </c>
      <c r="C74" s="28"/>
      <c r="D74" s="29"/>
      <c r="E74" s="29"/>
      <c r="F74" s="30"/>
      <c r="G74" s="31"/>
      <c r="H74" s="39"/>
      <c r="I74" s="32" t="str">
        <f t="shared" si="12"/>
        <v/>
      </c>
      <c r="J74" s="33"/>
      <c r="K74" s="33"/>
      <c r="L74" s="40"/>
      <c r="M74" s="40"/>
      <c r="N74" s="44"/>
      <c r="O74" s="36"/>
      <c r="P74" s="36"/>
      <c r="Q74" s="36"/>
      <c r="R74" s="36"/>
      <c r="S74" s="36"/>
      <c r="T74" s="38"/>
      <c r="U74" s="38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8"/>
      <c r="CZ74" s="38"/>
      <c r="DA74" s="13"/>
      <c r="DB74" s="13"/>
      <c r="DC74" s="13"/>
      <c r="DD74" s="13"/>
      <c r="DE74" s="13"/>
      <c r="DF74" s="13"/>
      <c r="DG74" s="13"/>
      <c r="DH74" s="13"/>
      <c r="DI74" s="13"/>
    </row>
    <row r="75" spans="2:113" ht="18" customHeight="1" x14ac:dyDescent="0.4">
      <c r="B75" s="27">
        <f t="shared" si="6"/>
        <v>64</v>
      </c>
      <c r="C75" s="28"/>
      <c r="D75" s="51"/>
      <c r="E75" s="29"/>
      <c r="F75" s="30"/>
      <c r="G75" s="31"/>
      <c r="H75" s="39"/>
      <c r="I75" s="32" t="str">
        <f t="shared" si="12"/>
        <v/>
      </c>
      <c r="J75" s="33"/>
      <c r="K75" s="33"/>
      <c r="L75" s="34"/>
      <c r="M75" s="34"/>
      <c r="N75" s="48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  <c r="CW75" s="49"/>
      <c r="CX75" s="49"/>
      <c r="CY75" s="49"/>
      <c r="CZ75" s="49"/>
    </row>
    <row r="76" spans="2:113" ht="18" customHeight="1" x14ac:dyDescent="0.4">
      <c r="B76" s="27">
        <f t="shared" si="6"/>
        <v>65</v>
      </c>
      <c r="C76" s="28"/>
      <c r="D76" s="29"/>
      <c r="E76" s="29"/>
      <c r="F76" s="30"/>
      <c r="G76" s="31"/>
      <c r="H76" s="39"/>
      <c r="I76" s="32" t="str">
        <f t="shared" si="12"/>
        <v/>
      </c>
      <c r="J76" s="33"/>
      <c r="K76" s="33"/>
      <c r="L76" s="34"/>
      <c r="M76" s="34"/>
      <c r="N76" s="36"/>
      <c r="O76" s="36"/>
      <c r="P76" s="36"/>
      <c r="Q76" s="36"/>
      <c r="R76" s="38"/>
      <c r="S76" s="38"/>
      <c r="T76" s="36"/>
      <c r="U76" s="36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8"/>
      <c r="CZ76" s="38"/>
      <c r="DA76" s="13"/>
      <c r="DB76" s="13"/>
      <c r="DC76" s="13"/>
      <c r="DD76" s="13"/>
      <c r="DE76" s="13"/>
      <c r="DF76" s="13"/>
      <c r="DG76" s="13"/>
      <c r="DH76" s="13"/>
      <c r="DI76" s="13"/>
    </row>
    <row r="77" spans="2:113" ht="18" customHeight="1" x14ac:dyDescent="0.4">
      <c r="B77" s="27">
        <f t="shared" ref="B77:B111" si="15">ROW()-11</f>
        <v>66</v>
      </c>
      <c r="C77" s="28"/>
      <c r="D77" s="29"/>
      <c r="E77" s="29"/>
      <c r="F77" s="30"/>
      <c r="G77" s="31"/>
      <c r="H77" s="39"/>
      <c r="I77" s="32" t="str">
        <f t="shared" si="12"/>
        <v/>
      </c>
      <c r="J77" s="33"/>
      <c r="K77" s="33"/>
      <c r="L77" s="34"/>
      <c r="M77" s="34"/>
      <c r="N77" s="44"/>
      <c r="O77" s="36"/>
      <c r="P77" s="36"/>
      <c r="Q77" s="36"/>
      <c r="R77" s="38"/>
      <c r="S77" s="38"/>
      <c r="T77" s="38"/>
      <c r="U77" s="38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8"/>
      <c r="CZ77" s="38"/>
      <c r="DA77" s="13"/>
      <c r="DB77" s="13"/>
      <c r="DC77" s="13"/>
      <c r="DD77" s="13"/>
      <c r="DE77" s="13"/>
      <c r="DF77" s="13"/>
      <c r="DG77" s="13"/>
      <c r="DH77" s="13"/>
      <c r="DI77" s="13"/>
    </row>
    <row r="78" spans="2:113" ht="18" customHeight="1" x14ac:dyDescent="0.4">
      <c r="B78" s="27">
        <f t="shared" si="15"/>
        <v>67</v>
      </c>
      <c r="C78" s="28"/>
      <c r="D78" s="29"/>
      <c r="E78" s="29"/>
      <c r="F78" s="30"/>
      <c r="G78" s="31"/>
      <c r="H78" s="43"/>
      <c r="I78" s="32" t="str">
        <f t="shared" si="12"/>
        <v/>
      </c>
      <c r="J78" s="33"/>
      <c r="K78" s="33"/>
      <c r="L78" s="34"/>
      <c r="M78" s="34"/>
      <c r="N78" s="44"/>
      <c r="O78" s="36"/>
      <c r="P78" s="36"/>
      <c r="Q78" s="36"/>
      <c r="R78" s="36"/>
      <c r="S78" s="36"/>
      <c r="T78" s="38"/>
      <c r="U78" s="38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8"/>
      <c r="CZ78" s="38"/>
      <c r="DA78" s="13"/>
      <c r="DB78" s="13"/>
      <c r="DC78" s="13"/>
      <c r="DD78" s="13"/>
      <c r="DE78" s="13"/>
      <c r="DF78" s="13"/>
      <c r="DG78" s="13"/>
      <c r="DH78" s="13"/>
      <c r="DI78" s="13"/>
    </row>
    <row r="79" spans="2:113" ht="18" customHeight="1" x14ac:dyDescent="0.4">
      <c r="B79" s="27">
        <f t="shared" si="15"/>
        <v>68</v>
      </c>
      <c r="C79" s="28"/>
      <c r="D79" s="29"/>
      <c r="E79" s="29"/>
      <c r="F79" s="30"/>
      <c r="G79" s="31"/>
      <c r="H79" s="39"/>
      <c r="I79" s="32" t="str">
        <f t="shared" si="12"/>
        <v/>
      </c>
      <c r="J79" s="33"/>
      <c r="K79" s="33"/>
      <c r="L79" s="40"/>
      <c r="M79" s="40"/>
      <c r="N79" s="44"/>
      <c r="O79" s="36"/>
      <c r="P79" s="36"/>
      <c r="Q79" s="36"/>
      <c r="R79" s="36"/>
      <c r="S79" s="36"/>
      <c r="T79" s="38"/>
      <c r="U79" s="38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8"/>
      <c r="CZ79" s="38"/>
      <c r="DA79" s="13"/>
      <c r="DB79" s="13"/>
      <c r="DC79" s="13"/>
      <c r="DD79" s="13"/>
      <c r="DE79" s="13"/>
      <c r="DF79" s="13"/>
      <c r="DG79" s="13"/>
      <c r="DH79" s="13"/>
      <c r="DI79" s="13"/>
    </row>
    <row r="80" spans="2:113" ht="18" customHeight="1" x14ac:dyDescent="0.4">
      <c r="B80" s="27">
        <f t="shared" si="15"/>
        <v>69</v>
      </c>
      <c r="C80" s="28"/>
      <c r="D80" s="29"/>
      <c r="E80" s="29"/>
      <c r="F80" s="30"/>
      <c r="G80" s="31"/>
      <c r="H80" s="39"/>
      <c r="I80" s="32" t="str">
        <f t="shared" si="12"/>
        <v/>
      </c>
      <c r="J80" s="33"/>
      <c r="K80" s="33"/>
      <c r="L80" s="34"/>
      <c r="M80" s="34"/>
      <c r="N80" s="36"/>
      <c r="O80" s="36"/>
      <c r="P80" s="36"/>
      <c r="Q80" s="36"/>
      <c r="R80" s="38"/>
      <c r="S80" s="38"/>
      <c r="T80" s="36"/>
      <c r="U80" s="36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8"/>
      <c r="CZ80" s="38"/>
      <c r="DA80" s="13"/>
      <c r="DB80" s="13"/>
      <c r="DC80" s="13"/>
      <c r="DD80" s="13"/>
      <c r="DE80" s="13"/>
      <c r="DF80" s="13"/>
      <c r="DG80" s="13"/>
      <c r="DH80" s="13"/>
      <c r="DI80" s="13"/>
    </row>
    <row r="81" spans="2:113" ht="18" customHeight="1" x14ac:dyDescent="0.4">
      <c r="B81" s="27">
        <f t="shared" si="15"/>
        <v>70</v>
      </c>
      <c r="C81" s="28"/>
      <c r="D81" s="28"/>
      <c r="E81" s="29"/>
      <c r="F81" s="30"/>
      <c r="G81" s="31"/>
      <c r="H81" s="39"/>
      <c r="I81" s="32" t="str">
        <f t="shared" si="12"/>
        <v/>
      </c>
      <c r="J81" s="33"/>
      <c r="K81" s="33"/>
      <c r="L81" s="40"/>
      <c r="M81" s="40"/>
      <c r="N81" s="36"/>
      <c r="O81" s="36"/>
      <c r="P81" s="36"/>
      <c r="Q81" s="36"/>
      <c r="R81" s="38"/>
      <c r="S81" s="38"/>
      <c r="T81" s="36"/>
      <c r="U81" s="36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8"/>
      <c r="CZ81" s="38"/>
      <c r="DA81" s="13"/>
      <c r="DB81" s="13"/>
      <c r="DC81" s="13"/>
      <c r="DD81" s="13"/>
      <c r="DE81" s="13"/>
      <c r="DF81" s="13"/>
      <c r="DG81" s="13"/>
      <c r="DH81" s="13"/>
      <c r="DI81" s="13"/>
    </row>
    <row r="82" spans="2:113" ht="18" customHeight="1" x14ac:dyDescent="0.4">
      <c r="B82" s="27">
        <f t="shared" si="15"/>
        <v>71</v>
      </c>
      <c r="C82" s="28"/>
      <c r="D82" s="29"/>
      <c r="E82" s="29"/>
      <c r="F82" s="30"/>
      <c r="G82" s="31"/>
      <c r="H82" s="39"/>
      <c r="I82" s="32" t="str">
        <f t="shared" si="12"/>
        <v/>
      </c>
      <c r="J82" s="33"/>
      <c r="K82" s="33"/>
      <c r="L82" s="40"/>
      <c r="M82" s="40"/>
      <c r="N82" s="36"/>
      <c r="O82" s="36"/>
      <c r="P82" s="36"/>
      <c r="Q82" s="36"/>
      <c r="R82" s="38"/>
      <c r="S82" s="38"/>
      <c r="T82" s="36"/>
      <c r="U82" s="36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8"/>
      <c r="CZ82" s="38"/>
      <c r="DA82" s="13"/>
      <c r="DB82" s="13"/>
      <c r="DC82" s="13"/>
      <c r="DD82" s="13"/>
      <c r="DE82" s="13"/>
      <c r="DF82" s="13"/>
      <c r="DG82" s="13"/>
      <c r="DH82" s="13"/>
      <c r="DI82" s="13"/>
    </row>
    <row r="83" spans="2:113" ht="18" customHeight="1" x14ac:dyDescent="0.4">
      <c r="B83" s="27">
        <f t="shared" si="15"/>
        <v>72</v>
      </c>
      <c r="C83" s="28"/>
      <c r="D83" s="29"/>
      <c r="E83" s="29"/>
      <c r="F83" s="30"/>
      <c r="G83" s="31"/>
      <c r="H83" s="39"/>
      <c r="I83" s="32" t="str">
        <f t="shared" si="12"/>
        <v/>
      </c>
      <c r="J83" s="33"/>
      <c r="K83" s="33"/>
      <c r="L83" s="40"/>
      <c r="M83" s="40"/>
      <c r="N83" s="36"/>
      <c r="O83" s="36"/>
      <c r="P83" s="36"/>
      <c r="Q83" s="36"/>
      <c r="R83" s="38"/>
      <c r="S83" s="38"/>
      <c r="T83" s="36"/>
      <c r="U83" s="36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8"/>
      <c r="CZ83" s="38"/>
      <c r="DA83" s="13"/>
      <c r="DB83" s="13"/>
      <c r="DC83" s="13"/>
      <c r="DD83" s="13"/>
      <c r="DE83" s="13"/>
      <c r="DF83" s="13"/>
      <c r="DG83" s="13"/>
      <c r="DH83" s="13"/>
      <c r="DI83" s="13"/>
    </row>
    <row r="84" spans="2:113" ht="18" customHeight="1" x14ac:dyDescent="0.4">
      <c r="B84" s="27">
        <f t="shared" si="15"/>
        <v>73</v>
      </c>
      <c r="C84" s="28"/>
      <c r="D84" s="29"/>
      <c r="E84" s="29"/>
      <c r="F84" s="30"/>
      <c r="G84" s="31"/>
      <c r="H84" s="39"/>
      <c r="I84" s="32" t="str">
        <f t="shared" si="12"/>
        <v/>
      </c>
      <c r="J84" s="33"/>
      <c r="K84" s="33"/>
      <c r="L84" s="34"/>
      <c r="M84" s="34"/>
      <c r="N84" s="36"/>
      <c r="O84" s="36"/>
      <c r="P84" s="36"/>
      <c r="Q84" s="36"/>
      <c r="R84" s="38"/>
      <c r="S84" s="38"/>
      <c r="T84" s="38"/>
      <c r="U84" s="38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50"/>
      <c r="BY84" s="50"/>
      <c r="BZ84" s="50"/>
      <c r="CA84" s="50"/>
      <c r="CB84" s="50"/>
      <c r="CC84" s="36"/>
      <c r="CD84" s="36"/>
      <c r="CE84" s="50"/>
      <c r="CF84" s="50"/>
      <c r="CG84" s="50"/>
      <c r="CH84" s="50"/>
      <c r="CI84" s="50"/>
      <c r="CJ84" s="36"/>
      <c r="CK84" s="36"/>
      <c r="CL84" s="50"/>
      <c r="CM84" s="50"/>
      <c r="CN84" s="50"/>
      <c r="CO84" s="50"/>
      <c r="CP84" s="50"/>
      <c r="CQ84" s="36"/>
      <c r="CR84" s="36"/>
      <c r="CS84" s="39"/>
      <c r="CT84" s="39"/>
      <c r="CU84" s="39"/>
      <c r="CV84" s="39"/>
      <c r="CW84" s="39"/>
      <c r="CX84" s="36"/>
      <c r="CY84" s="38"/>
      <c r="CZ84" s="38"/>
      <c r="DA84" s="13"/>
      <c r="DB84" s="13"/>
      <c r="DC84" s="13"/>
      <c r="DD84" s="13"/>
      <c r="DE84" s="13"/>
      <c r="DF84" s="13"/>
      <c r="DG84" s="13"/>
      <c r="DH84" s="13"/>
      <c r="DI84" s="13"/>
    </row>
    <row r="85" spans="2:113" ht="18" customHeight="1" x14ac:dyDescent="0.4">
      <c r="B85" s="27">
        <f t="shared" si="15"/>
        <v>74</v>
      </c>
      <c r="C85" s="28"/>
      <c r="D85" s="29"/>
      <c r="E85" s="29"/>
      <c r="F85" s="30"/>
      <c r="G85" s="31"/>
      <c r="H85" s="43"/>
      <c r="I85" s="32" t="str">
        <f t="shared" si="12"/>
        <v/>
      </c>
      <c r="J85" s="33"/>
      <c r="K85" s="33"/>
      <c r="L85" s="40"/>
      <c r="M85" s="40"/>
      <c r="N85" s="36"/>
      <c r="O85" s="36"/>
      <c r="P85" s="36"/>
      <c r="Q85" s="36"/>
      <c r="R85" s="38"/>
      <c r="S85" s="38"/>
      <c r="T85" s="38"/>
      <c r="U85" s="38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50"/>
      <c r="BG85" s="50"/>
      <c r="BH85" s="36"/>
      <c r="BI85" s="36"/>
      <c r="BJ85" s="50"/>
      <c r="BK85" s="50"/>
      <c r="BL85" s="50"/>
      <c r="BM85" s="50"/>
      <c r="BN85" s="50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8"/>
      <c r="CZ85" s="38"/>
      <c r="DA85" s="13"/>
      <c r="DB85" s="13"/>
      <c r="DC85" s="13"/>
      <c r="DD85" s="13"/>
      <c r="DE85" s="13"/>
      <c r="DF85" s="13"/>
      <c r="DG85" s="13"/>
      <c r="DH85" s="13"/>
      <c r="DI85" s="13"/>
    </row>
    <row r="86" spans="2:113" ht="18" customHeight="1" x14ac:dyDescent="0.4">
      <c r="B86" s="27">
        <f t="shared" si="15"/>
        <v>75</v>
      </c>
      <c r="C86" s="28"/>
      <c r="D86" s="29"/>
      <c r="E86" s="29"/>
      <c r="F86" s="30"/>
      <c r="G86" s="31"/>
      <c r="H86" s="39"/>
      <c r="I86" s="32" t="str">
        <f t="shared" si="12"/>
        <v/>
      </c>
      <c r="J86" s="33"/>
      <c r="K86" s="33"/>
      <c r="L86" s="40"/>
      <c r="M86" s="40"/>
      <c r="N86" s="36"/>
      <c r="O86" s="36"/>
      <c r="P86" s="36"/>
      <c r="Q86" s="36"/>
      <c r="R86" s="38"/>
      <c r="S86" s="38"/>
      <c r="T86" s="52"/>
      <c r="U86" s="5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39"/>
      <c r="BG86" s="39"/>
      <c r="BH86" s="36"/>
      <c r="BI86" s="36"/>
      <c r="BJ86" s="39"/>
      <c r="BK86" s="39"/>
      <c r="BL86" s="39"/>
      <c r="BM86" s="39"/>
      <c r="BN86" s="39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8"/>
      <c r="CZ86" s="38"/>
      <c r="DA86" s="13"/>
      <c r="DB86" s="13"/>
      <c r="DC86" s="13"/>
      <c r="DD86" s="13"/>
      <c r="DE86" s="13"/>
      <c r="DF86" s="13"/>
      <c r="DG86" s="13"/>
      <c r="DH86" s="13"/>
      <c r="DI86" s="13"/>
    </row>
    <row r="87" spans="2:113" ht="18" customHeight="1" x14ac:dyDescent="0.4">
      <c r="B87" s="27">
        <f t="shared" si="15"/>
        <v>76</v>
      </c>
      <c r="C87" s="28"/>
      <c r="D87" s="28"/>
      <c r="E87" s="29"/>
      <c r="F87" s="30"/>
      <c r="G87" s="31"/>
      <c r="H87" s="43"/>
      <c r="I87" s="32" t="str">
        <f t="shared" si="12"/>
        <v/>
      </c>
      <c r="J87" s="33"/>
      <c r="K87" s="33"/>
      <c r="L87" s="34"/>
      <c r="M87" s="34"/>
      <c r="N87" s="44"/>
      <c r="O87" s="36"/>
      <c r="P87" s="36"/>
      <c r="Q87" s="36"/>
      <c r="R87" s="36"/>
      <c r="S87" s="36"/>
      <c r="T87" s="38"/>
      <c r="U87" s="38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8"/>
      <c r="CZ87" s="38"/>
      <c r="DA87" s="13"/>
      <c r="DB87" s="13"/>
      <c r="DC87" s="13"/>
      <c r="DD87" s="13"/>
      <c r="DE87" s="13"/>
      <c r="DF87" s="13"/>
      <c r="DG87" s="13"/>
      <c r="DH87" s="13"/>
      <c r="DI87" s="13"/>
    </row>
    <row r="88" spans="2:113" ht="18" customHeight="1" x14ac:dyDescent="0.4">
      <c r="B88" s="27">
        <f t="shared" si="15"/>
        <v>77</v>
      </c>
      <c r="C88" s="28"/>
      <c r="D88" s="29"/>
      <c r="E88" s="29"/>
      <c r="F88" s="30"/>
      <c r="G88" s="31"/>
      <c r="H88" s="45"/>
      <c r="I88" s="32" t="str">
        <f t="shared" si="12"/>
        <v/>
      </c>
      <c r="J88" s="33"/>
      <c r="K88" s="33"/>
      <c r="L88" s="46"/>
      <c r="M88" s="46"/>
      <c r="N88" s="36"/>
      <c r="O88" s="36"/>
      <c r="P88" s="36"/>
      <c r="Q88" s="36"/>
      <c r="R88" s="38"/>
      <c r="S88" s="38"/>
      <c r="T88" s="52"/>
      <c r="U88" s="5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8"/>
      <c r="CZ88" s="38"/>
      <c r="DA88" s="13"/>
      <c r="DB88" s="13"/>
      <c r="DC88" s="13"/>
      <c r="DD88" s="13"/>
      <c r="DE88" s="13"/>
      <c r="DF88" s="13"/>
      <c r="DG88" s="13"/>
      <c r="DH88" s="13"/>
      <c r="DI88" s="13"/>
    </row>
    <row r="89" spans="2:113" ht="18" customHeight="1" x14ac:dyDescent="0.4">
      <c r="B89" s="27">
        <f t="shared" si="15"/>
        <v>78</v>
      </c>
      <c r="C89" s="28"/>
      <c r="D89" s="29"/>
      <c r="E89" s="29"/>
      <c r="F89" s="30"/>
      <c r="G89" s="31"/>
      <c r="H89" s="45"/>
      <c r="I89" s="32" t="str">
        <f t="shared" si="12"/>
        <v/>
      </c>
      <c r="J89" s="33"/>
      <c r="K89" s="33"/>
      <c r="L89" s="46"/>
      <c r="M89" s="46"/>
      <c r="N89" s="41"/>
      <c r="O89" s="36"/>
      <c r="P89" s="36"/>
      <c r="Q89" s="41"/>
      <c r="R89" s="38"/>
      <c r="S89" s="38"/>
      <c r="T89" s="38"/>
      <c r="U89" s="38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37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8"/>
      <c r="CZ89" s="38"/>
      <c r="DA89" s="13"/>
      <c r="DB89" s="13"/>
      <c r="DC89" s="13"/>
      <c r="DD89" s="13"/>
      <c r="DE89" s="13"/>
      <c r="DF89" s="13"/>
      <c r="DG89" s="13"/>
      <c r="DH89" s="13"/>
      <c r="DI89" s="13"/>
    </row>
    <row r="90" spans="2:113" ht="18" customHeight="1" x14ac:dyDescent="0.4">
      <c r="B90" s="27">
        <f t="shared" si="15"/>
        <v>79</v>
      </c>
      <c r="C90" s="28"/>
      <c r="D90" s="28"/>
      <c r="E90" s="29"/>
      <c r="F90" s="30"/>
      <c r="G90" s="31"/>
      <c r="H90" s="43"/>
      <c r="I90" s="32" t="str">
        <f t="shared" si="12"/>
        <v/>
      </c>
      <c r="J90" s="33"/>
      <c r="K90" s="33"/>
      <c r="L90" s="34"/>
      <c r="M90" s="34"/>
      <c r="N90" s="36"/>
      <c r="O90" s="36"/>
      <c r="P90" s="36"/>
      <c r="Q90" s="36"/>
      <c r="R90" s="38"/>
      <c r="S90" s="38"/>
      <c r="T90" s="38"/>
      <c r="U90" s="38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8"/>
      <c r="CZ90" s="38"/>
      <c r="DA90" s="13"/>
      <c r="DB90" s="13"/>
      <c r="DC90" s="13"/>
      <c r="DD90" s="13"/>
      <c r="DE90" s="13"/>
      <c r="DF90" s="13"/>
      <c r="DG90" s="13"/>
      <c r="DH90" s="13"/>
      <c r="DI90" s="13"/>
    </row>
    <row r="91" spans="2:113" ht="18" customHeight="1" x14ac:dyDescent="0.4">
      <c r="B91" s="27">
        <f t="shared" si="15"/>
        <v>80</v>
      </c>
      <c r="C91" s="28"/>
      <c r="D91" s="28"/>
      <c r="E91" s="29"/>
      <c r="F91" s="30"/>
      <c r="G91" s="31"/>
      <c r="H91" s="39"/>
      <c r="I91" s="32" t="str">
        <f t="shared" si="12"/>
        <v/>
      </c>
      <c r="J91" s="33"/>
      <c r="K91" s="33"/>
      <c r="L91" s="34"/>
      <c r="M91" s="34"/>
      <c r="N91" s="47"/>
      <c r="O91" s="36"/>
      <c r="P91" s="36"/>
      <c r="Q91" s="36"/>
      <c r="R91" s="38"/>
      <c r="S91" s="38"/>
      <c r="T91" s="38"/>
      <c r="U91" s="38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8"/>
      <c r="CZ91" s="38"/>
      <c r="DA91" s="13"/>
      <c r="DB91" s="13"/>
      <c r="DC91" s="13"/>
      <c r="DD91" s="13"/>
      <c r="DE91" s="13"/>
      <c r="DF91" s="13"/>
      <c r="DG91" s="13"/>
      <c r="DH91" s="13"/>
      <c r="DI91" s="13"/>
    </row>
    <row r="92" spans="2:113" ht="18" customHeight="1" x14ac:dyDescent="0.4">
      <c r="B92" s="27">
        <f t="shared" si="15"/>
        <v>81</v>
      </c>
      <c r="C92" s="28"/>
      <c r="D92" s="28"/>
      <c r="E92" s="29"/>
      <c r="F92" s="30"/>
      <c r="G92" s="31"/>
      <c r="H92" s="43"/>
      <c r="I92" s="32" t="str">
        <f t="shared" si="12"/>
        <v/>
      </c>
      <c r="J92" s="33"/>
      <c r="K92" s="33"/>
      <c r="L92" s="34"/>
      <c r="M92" s="34"/>
      <c r="N92" s="36"/>
      <c r="O92" s="36"/>
      <c r="P92" s="36"/>
      <c r="Q92" s="36"/>
      <c r="R92" s="38"/>
      <c r="S92" s="38"/>
      <c r="T92" s="53"/>
      <c r="U92" s="53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8"/>
      <c r="CZ92" s="38"/>
      <c r="DA92" s="13"/>
      <c r="DB92" s="13"/>
      <c r="DC92" s="13"/>
      <c r="DD92" s="13"/>
      <c r="DE92" s="13"/>
      <c r="DF92" s="13"/>
      <c r="DG92" s="13"/>
      <c r="DH92" s="13"/>
      <c r="DI92" s="13"/>
    </row>
    <row r="93" spans="2:113" ht="18" customHeight="1" x14ac:dyDescent="0.4">
      <c r="B93" s="27">
        <f t="shared" si="15"/>
        <v>82</v>
      </c>
      <c r="C93" s="28"/>
      <c r="D93" s="29"/>
      <c r="E93" s="29"/>
      <c r="F93" s="30"/>
      <c r="G93" s="31"/>
      <c r="H93" s="39"/>
      <c r="I93" s="32" t="str">
        <f t="shared" si="12"/>
        <v/>
      </c>
      <c r="J93" s="33"/>
      <c r="K93" s="33"/>
      <c r="L93" s="34"/>
      <c r="M93" s="34"/>
      <c r="N93" s="44"/>
      <c r="O93" s="36"/>
      <c r="P93" s="36"/>
      <c r="Q93" s="36"/>
      <c r="R93" s="38"/>
      <c r="S93" s="38"/>
      <c r="T93" s="38"/>
      <c r="U93" s="38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8"/>
      <c r="CZ93" s="38"/>
      <c r="DA93" s="13"/>
      <c r="DB93" s="13"/>
      <c r="DC93" s="13"/>
      <c r="DD93" s="13"/>
      <c r="DE93" s="13"/>
      <c r="DF93" s="13"/>
      <c r="DG93" s="13"/>
      <c r="DH93" s="13"/>
      <c r="DI93" s="13"/>
    </row>
    <row r="94" spans="2:113" ht="18" customHeight="1" x14ac:dyDescent="0.4">
      <c r="B94" s="27">
        <f t="shared" si="15"/>
        <v>83</v>
      </c>
      <c r="C94" s="28"/>
      <c r="D94" s="29"/>
      <c r="E94" s="29"/>
      <c r="F94" s="30"/>
      <c r="G94" s="31"/>
      <c r="H94" s="43"/>
      <c r="I94" s="32" t="str">
        <f t="shared" si="12"/>
        <v/>
      </c>
      <c r="J94" s="33"/>
      <c r="K94" s="33"/>
      <c r="L94" s="34"/>
      <c r="M94" s="34"/>
      <c r="N94" s="54"/>
      <c r="O94" s="54"/>
      <c r="P94" s="54"/>
      <c r="Q94" s="54"/>
      <c r="R94" s="38"/>
      <c r="S94" s="38"/>
      <c r="T94" s="38"/>
      <c r="U94" s="38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8"/>
      <c r="CZ94" s="38"/>
      <c r="DA94" s="13"/>
      <c r="DB94" s="13"/>
      <c r="DC94" s="13"/>
      <c r="DD94" s="13"/>
      <c r="DE94" s="13"/>
      <c r="DF94" s="13"/>
      <c r="DG94" s="13"/>
      <c r="DH94" s="13"/>
      <c r="DI94" s="13"/>
    </row>
    <row r="95" spans="2:113" ht="18" customHeight="1" x14ac:dyDescent="0.4">
      <c r="B95" s="27">
        <f t="shared" si="15"/>
        <v>84</v>
      </c>
      <c r="C95" s="28"/>
      <c r="D95" s="29"/>
      <c r="E95" s="29"/>
      <c r="F95" s="30"/>
      <c r="G95" s="31"/>
      <c r="H95" s="43"/>
      <c r="I95" s="32" t="str">
        <f t="shared" si="12"/>
        <v/>
      </c>
      <c r="J95" s="33"/>
      <c r="K95" s="33"/>
      <c r="L95" s="34"/>
      <c r="M95" s="34"/>
      <c r="N95" s="54"/>
      <c r="O95" s="54"/>
      <c r="P95" s="54"/>
      <c r="Q95" s="54"/>
      <c r="R95" s="38"/>
      <c r="S95" s="38"/>
      <c r="T95" s="54"/>
      <c r="U95" s="54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8"/>
      <c r="CZ95" s="38"/>
      <c r="DA95" s="13"/>
      <c r="DB95" s="13"/>
      <c r="DC95" s="13"/>
      <c r="DD95" s="13"/>
      <c r="DE95" s="13"/>
      <c r="DF95" s="13"/>
      <c r="DG95" s="13"/>
      <c r="DH95" s="13"/>
      <c r="DI95" s="13"/>
    </row>
    <row r="96" spans="2:113" ht="18" customHeight="1" x14ac:dyDescent="0.4">
      <c r="B96" s="27">
        <f t="shared" si="15"/>
        <v>85</v>
      </c>
      <c r="C96" s="28"/>
      <c r="D96" s="29"/>
      <c r="E96" s="29"/>
      <c r="F96" s="30"/>
      <c r="G96" s="31"/>
      <c r="H96" s="39"/>
      <c r="I96" s="32" t="str">
        <f t="shared" si="12"/>
        <v/>
      </c>
      <c r="J96" s="33"/>
      <c r="K96" s="33"/>
      <c r="L96" s="40"/>
      <c r="M96" s="40"/>
      <c r="N96" s="44"/>
      <c r="O96" s="36"/>
      <c r="P96" s="36"/>
      <c r="Q96" s="36"/>
      <c r="R96" s="36"/>
      <c r="S96" s="36"/>
      <c r="T96" s="38"/>
      <c r="U96" s="38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8"/>
      <c r="CZ96" s="38"/>
      <c r="DA96" s="13"/>
      <c r="DB96" s="13"/>
      <c r="DC96" s="13"/>
      <c r="DD96" s="13"/>
      <c r="DE96" s="13"/>
      <c r="DF96" s="13"/>
      <c r="DG96" s="13"/>
      <c r="DH96" s="13"/>
      <c r="DI96" s="13"/>
    </row>
    <row r="97" spans="2:113" ht="18" customHeight="1" x14ac:dyDescent="0.4">
      <c r="B97" s="27">
        <f t="shared" si="15"/>
        <v>86</v>
      </c>
      <c r="C97" s="28"/>
      <c r="D97" s="29"/>
      <c r="E97" s="29"/>
      <c r="F97" s="30"/>
      <c r="G97" s="31"/>
      <c r="H97" s="39"/>
      <c r="I97" s="32" t="str">
        <f t="shared" si="12"/>
        <v/>
      </c>
      <c r="J97" s="33"/>
      <c r="K97" s="33"/>
      <c r="L97" s="40"/>
      <c r="M97" s="40"/>
      <c r="N97" s="36"/>
      <c r="O97" s="36"/>
      <c r="P97" s="36"/>
      <c r="Q97" s="36"/>
      <c r="R97" s="38"/>
      <c r="S97" s="38"/>
      <c r="T97" s="38"/>
      <c r="U97" s="38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50"/>
      <c r="BG97" s="50"/>
      <c r="BH97" s="36"/>
      <c r="BI97" s="36"/>
      <c r="BJ97" s="50"/>
      <c r="BK97" s="50"/>
      <c r="BL97" s="50"/>
      <c r="BM97" s="50"/>
      <c r="BN97" s="50"/>
      <c r="BO97" s="36"/>
      <c r="BP97" s="36"/>
      <c r="BQ97" s="39"/>
      <c r="BR97" s="39"/>
      <c r="BS97" s="39"/>
      <c r="BT97" s="39"/>
      <c r="BU97" s="39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8"/>
      <c r="CZ97" s="38"/>
      <c r="DA97" s="13"/>
      <c r="DB97" s="13"/>
      <c r="DC97" s="13"/>
      <c r="DD97" s="13"/>
      <c r="DE97" s="13"/>
      <c r="DF97" s="13"/>
      <c r="DG97" s="13"/>
      <c r="DH97" s="13"/>
      <c r="DI97" s="13"/>
    </row>
    <row r="98" spans="2:113" ht="18" customHeight="1" x14ac:dyDescent="0.4">
      <c r="B98" s="27">
        <f t="shared" si="15"/>
        <v>87</v>
      </c>
      <c r="C98" s="28"/>
      <c r="D98" s="29"/>
      <c r="E98" s="29"/>
      <c r="F98" s="30"/>
      <c r="G98" s="31"/>
      <c r="H98" s="39"/>
      <c r="I98" s="32" t="str">
        <f t="shared" si="12"/>
        <v/>
      </c>
      <c r="J98" s="33"/>
      <c r="K98" s="33"/>
      <c r="L98" s="40"/>
      <c r="M98" s="40"/>
      <c r="N98" s="36"/>
      <c r="O98" s="41"/>
      <c r="P98" s="41"/>
      <c r="Q98" s="41"/>
      <c r="R98" s="38"/>
      <c r="S98" s="38"/>
      <c r="T98" s="38"/>
      <c r="U98" s="38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8"/>
      <c r="CZ98" s="38"/>
      <c r="DA98" s="13"/>
      <c r="DB98" s="13"/>
      <c r="DC98" s="13"/>
      <c r="DD98" s="13"/>
      <c r="DE98" s="13"/>
      <c r="DF98" s="13"/>
      <c r="DG98" s="13"/>
      <c r="DH98" s="13"/>
      <c r="DI98" s="13"/>
    </row>
    <row r="99" spans="2:113" ht="18" customHeight="1" x14ac:dyDescent="0.4">
      <c r="B99" s="27">
        <f t="shared" si="15"/>
        <v>88</v>
      </c>
      <c r="C99" s="28"/>
      <c r="D99" s="29"/>
      <c r="E99" s="29"/>
      <c r="F99" s="30"/>
      <c r="G99" s="31"/>
      <c r="H99" s="39"/>
      <c r="I99" s="32" t="str">
        <f t="shared" si="12"/>
        <v/>
      </c>
      <c r="J99" s="33"/>
      <c r="K99" s="33"/>
      <c r="L99" s="34"/>
      <c r="M99" s="34"/>
      <c r="N99" s="36"/>
      <c r="O99" s="36"/>
      <c r="P99" s="36"/>
      <c r="Q99" s="36"/>
      <c r="R99" s="38"/>
      <c r="S99" s="38"/>
      <c r="T99" s="52"/>
      <c r="U99" s="52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8"/>
      <c r="CZ99" s="38"/>
      <c r="DA99" s="13"/>
      <c r="DB99" s="13"/>
      <c r="DC99" s="13"/>
      <c r="DD99" s="13"/>
      <c r="DE99" s="13"/>
      <c r="DF99" s="13"/>
      <c r="DG99" s="13"/>
      <c r="DH99" s="13"/>
      <c r="DI99" s="13"/>
    </row>
    <row r="100" spans="2:113" ht="18" customHeight="1" x14ac:dyDescent="0.4">
      <c r="B100" s="27">
        <f t="shared" si="15"/>
        <v>89</v>
      </c>
      <c r="C100" s="28"/>
      <c r="D100" s="29"/>
      <c r="E100" s="29"/>
      <c r="F100" s="30"/>
      <c r="G100" s="31"/>
      <c r="H100" s="39"/>
      <c r="I100" s="32" t="str">
        <f t="shared" si="12"/>
        <v/>
      </c>
      <c r="J100" s="33"/>
      <c r="K100" s="33"/>
      <c r="L100" s="40"/>
      <c r="M100" s="40"/>
      <c r="N100" s="36"/>
      <c r="O100" s="36"/>
      <c r="P100" s="36"/>
      <c r="Q100" s="36"/>
      <c r="R100" s="38"/>
      <c r="S100" s="38"/>
      <c r="T100" s="52"/>
      <c r="U100" s="52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8"/>
      <c r="CZ100" s="38"/>
      <c r="DA100" s="13"/>
      <c r="DB100" s="13"/>
      <c r="DC100" s="13"/>
      <c r="DD100" s="13"/>
      <c r="DE100" s="13"/>
      <c r="DF100" s="13"/>
      <c r="DG100" s="13"/>
      <c r="DH100" s="13"/>
      <c r="DI100" s="13"/>
    </row>
    <row r="101" spans="2:113" ht="18" customHeight="1" x14ac:dyDescent="0.4">
      <c r="B101" s="27">
        <f t="shared" si="15"/>
        <v>90</v>
      </c>
      <c r="C101" s="28"/>
      <c r="D101" s="29"/>
      <c r="E101" s="29"/>
      <c r="F101" s="30"/>
      <c r="G101" s="31"/>
      <c r="H101" s="39"/>
      <c r="I101" s="32" t="str">
        <f t="shared" si="12"/>
        <v/>
      </c>
      <c r="J101" s="33"/>
      <c r="K101" s="33"/>
      <c r="L101" s="34"/>
      <c r="M101" s="34"/>
      <c r="N101" s="48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49"/>
      <c r="BY101" s="49"/>
      <c r="BZ101" s="49"/>
      <c r="CA101" s="49"/>
      <c r="CB101" s="49"/>
      <c r="CC101" s="49"/>
      <c r="CD101" s="49"/>
      <c r="CE101" s="49"/>
      <c r="CF101" s="49"/>
      <c r="CG101" s="49"/>
      <c r="CH101" s="49"/>
      <c r="CI101" s="49"/>
      <c r="CJ101" s="49"/>
      <c r="CK101" s="49"/>
      <c r="CL101" s="49"/>
      <c r="CM101" s="49"/>
      <c r="CN101" s="49"/>
      <c r="CO101" s="49"/>
      <c r="CP101" s="49"/>
      <c r="CQ101" s="49"/>
      <c r="CR101" s="49"/>
      <c r="CS101" s="49"/>
      <c r="CT101" s="49"/>
      <c r="CU101" s="49"/>
      <c r="CV101" s="49"/>
      <c r="CW101" s="49"/>
      <c r="CX101" s="49"/>
      <c r="CY101" s="49"/>
      <c r="CZ101" s="49"/>
    </row>
    <row r="102" spans="2:113" ht="18" customHeight="1" x14ac:dyDescent="0.4">
      <c r="B102" s="27">
        <f t="shared" si="15"/>
        <v>91</v>
      </c>
      <c r="C102" s="28"/>
      <c r="D102" s="29"/>
      <c r="E102" s="29"/>
      <c r="F102" s="30"/>
      <c r="G102" s="31"/>
      <c r="H102" s="45"/>
      <c r="I102" s="32" t="str">
        <f t="shared" si="12"/>
        <v/>
      </c>
      <c r="J102" s="33"/>
      <c r="K102" s="33"/>
      <c r="L102" s="46"/>
      <c r="M102" s="46"/>
      <c r="N102" s="48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49"/>
      <c r="BY102" s="49"/>
      <c r="BZ102" s="49"/>
      <c r="CA102" s="49"/>
      <c r="CB102" s="49"/>
      <c r="CC102" s="49"/>
      <c r="CD102" s="49"/>
      <c r="CE102" s="49"/>
      <c r="CF102" s="49"/>
      <c r="CG102" s="49"/>
      <c r="CH102" s="49"/>
      <c r="CI102" s="49"/>
      <c r="CJ102" s="49"/>
      <c r="CK102" s="49"/>
      <c r="CL102" s="49"/>
      <c r="CM102" s="49"/>
      <c r="CN102" s="49"/>
      <c r="CO102" s="49"/>
      <c r="CP102" s="49"/>
      <c r="CQ102" s="49"/>
      <c r="CR102" s="49"/>
      <c r="CS102" s="49"/>
      <c r="CT102" s="49"/>
      <c r="CU102" s="49"/>
      <c r="CV102" s="49"/>
      <c r="CW102" s="49"/>
      <c r="CX102" s="49"/>
      <c r="CY102" s="49"/>
      <c r="CZ102" s="49"/>
    </row>
    <row r="103" spans="2:113" ht="18" customHeight="1" x14ac:dyDescent="0.4">
      <c r="B103" s="27">
        <f t="shared" si="15"/>
        <v>92</v>
      </c>
      <c r="C103" s="28"/>
      <c r="D103" s="29"/>
      <c r="E103" s="29"/>
      <c r="F103" s="30"/>
      <c r="G103" s="31"/>
      <c r="H103" s="39"/>
      <c r="I103" s="32" t="str">
        <f t="shared" si="12"/>
        <v/>
      </c>
      <c r="J103" s="33"/>
      <c r="K103" s="33"/>
      <c r="L103" s="40"/>
      <c r="M103" s="40"/>
      <c r="N103" s="44"/>
      <c r="O103" s="36"/>
      <c r="P103" s="36"/>
      <c r="Q103" s="36"/>
      <c r="R103" s="36"/>
      <c r="S103" s="36"/>
      <c r="T103" s="38"/>
      <c r="U103" s="38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8"/>
      <c r="CZ103" s="38"/>
      <c r="DA103" s="13"/>
      <c r="DB103" s="13"/>
      <c r="DC103" s="13"/>
      <c r="DD103" s="13"/>
      <c r="DE103" s="13"/>
      <c r="DF103" s="13"/>
      <c r="DG103" s="13"/>
      <c r="DH103" s="13"/>
      <c r="DI103" s="13"/>
    </row>
    <row r="104" spans="2:113" ht="18" customHeight="1" x14ac:dyDescent="0.4">
      <c r="B104" s="27">
        <f t="shared" si="15"/>
        <v>93</v>
      </c>
      <c r="C104" s="28"/>
      <c r="D104" s="28"/>
      <c r="E104" s="29"/>
      <c r="F104" s="30"/>
      <c r="G104" s="31"/>
      <c r="H104" s="39"/>
      <c r="I104" s="32" t="str">
        <f t="shared" si="12"/>
        <v/>
      </c>
      <c r="J104" s="33"/>
      <c r="K104" s="33"/>
      <c r="L104" s="40"/>
      <c r="M104" s="40"/>
      <c r="N104" s="48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  <c r="BA104" s="49"/>
      <c r="BB104" s="49"/>
      <c r="BC104" s="49"/>
      <c r="BD104" s="49"/>
      <c r="BE104" s="49"/>
      <c r="BF104" s="49"/>
      <c r="BG104" s="49"/>
      <c r="BH104" s="49"/>
      <c r="BI104" s="49"/>
      <c r="BJ104" s="49"/>
      <c r="BK104" s="49"/>
      <c r="BL104" s="49"/>
      <c r="BM104" s="49"/>
      <c r="BN104" s="49"/>
      <c r="BO104" s="49"/>
      <c r="BP104" s="49"/>
      <c r="BQ104" s="49"/>
      <c r="BR104" s="49"/>
      <c r="BS104" s="49"/>
      <c r="BT104" s="49"/>
      <c r="BU104" s="49"/>
      <c r="BV104" s="49"/>
      <c r="BW104" s="49"/>
      <c r="BX104" s="49"/>
      <c r="BY104" s="49"/>
      <c r="BZ104" s="49"/>
      <c r="CA104" s="49"/>
      <c r="CB104" s="49"/>
      <c r="CC104" s="49"/>
      <c r="CD104" s="49"/>
      <c r="CE104" s="49"/>
      <c r="CF104" s="49"/>
      <c r="CG104" s="49"/>
      <c r="CH104" s="49"/>
      <c r="CI104" s="49"/>
      <c r="CJ104" s="49"/>
      <c r="CK104" s="49"/>
      <c r="CL104" s="49"/>
      <c r="CM104" s="49"/>
      <c r="CN104" s="49"/>
      <c r="CO104" s="49"/>
      <c r="CP104" s="49"/>
      <c r="CQ104" s="49"/>
      <c r="CR104" s="49"/>
      <c r="CS104" s="49"/>
      <c r="CT104" s="49"/>
      <c r="CU104" s="49"/>
      <c r="CV104" s="49"/>
      <c r="CW104" s="49"/>
      <c r="CX104" s="49"/>
      <c r="CY104" s="49"/>
      <c r="CZ104" s="49"/>
    </row>
    <row r="105" spans="2:113" ht="18" customHeight="1" x14ac:dyDescent="0.4">
      <c r="B105" s="27">
        <f t="shared" si="15"/>
        <v>94</v>
      </c>
      <c r="C105" s="28"/>
      <c r="D105" s="28"/>
      <c r="E105" s="29"/>
      <c r="F105" s="30"/>
      <c r="G105" s="31"/>
      <c r="H105" s="39"/>
      <c r="I105" s="32" t="str">
        <f t="shared" si="12"/>
        <v/>
      </c>
      <c r="J105" s="33"/>
      <c r="K105" s="33"/>
      <c r="L105" s="34"/>
      <c r="M105" s="34"/>
      <c r="N105" s="48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  <c r="BD105" s="49"/>
      <c r="BE105" s="49"/>
      <c r="BF105" s="49"/>
      <c r="BG105" s="49"/>
      <c r="BH105" s="49"/>
      <c r="BI105" s="49"/>
      <c r="BJ105" s="49"/>
      <c r="BK105" s="49"/>
      <c r="BL105" s="49"/>
      <c r="BM105" s="49"/>
      <c r="BN105" s="49"/>
      <c r="BO105" s="49"/>
      <c r="BP105" s="49"/>
      <c r="BQ105" s="49"/>
      <c r="BR105" s="49"/>
      <c r="BS105" s="49"/>
      <c r="BT105" s="49"/>
      <c r="BU105" s="49"/>
      <c r="BV105" s="49"/>
      <c r="BW105" s="49"/>
      <c r="BX105" s="49"/>
      <c r="BY105" s="49"/>
      <c r="BZ105" s="49"/>
      <c r="CA105" s="49"/>
      <c r="CB105" s="49"/>
      <c r="CC105" s="49"/>
      <c r="CD105" s="49"/>
      <c r="CE105" s="49"/>
      <c r="CF105" s="49"/>
      <c r="CG105" s="49"/>
      <c r="CH105" s="49"/>
      <c r="CI105" s="49"/>
      <c r="CJ105" s="49"/>
      <c r="CK105" s="49"/>
      <c r="CL105" s="49"/>
      <c r="CM105" s="49"/>
      <c r="CN105" s="49"/>
      <c r="CO105" s="49"/>
      <c r="CP105" s="49"/>
      <c r="CQ105" s="49"/>
      <c r="CR105" s="49"/>
      <c r="CS105" s="49"/>
      <c r="CT105" s="49"/>
      <c r="CU105" s="49"/>
      <c r="CV105" s="49"/>
      <c r="CW105" s="49"/>
      <c r="CX105" s="49"/>
      <c r="CY105" s="49"/>
      <c r="CZ105" s="49"/>
    </row>
    <row r="106" spans="2:113" ht="18" customHeight="1" x14ac:dyDescent="0.4">
      <c r="B106" s="27">
        <f t="shared" si="15"/>
        <v>95</v>
      </c>
      <c r="C106" s="28"/>
      <c r="D106" s="28"/>
      <c r="E106" s="29"/>
      <c r="F106" s="30"/>
      <c r="G106" s="31"/>
      <c r="H106" s="45"/>
      <c r="I106" s="32" t="str">
        <f t="shared" si="12"/>
        <v/>
      </c>
      <c r="J106" s="33"/>
      <c r="K106" s="33"/>
      <c r="L106" s="46"/>
      <c r="M106" s="46"/>
      <c r="N106" s="48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  <c r="BA106" s="49"/>
      <c r="BB106" s="49"/>
      <c r="BC106" s="49"/>
      <c r="BD106" s="49"/>
      <c r="BE106" s="49"/>
      <c r="BF106" s="49"/>
      <c r="BG106" s="49"/>
      <c r="BH106" s="49"/>
      <c r="BI106" s="49"/>
      <c r="BJ106" s="49"/>
      <c r="BK106" s="49"/>
      <c r="BL106" s="49"/>
      <c r="BM106" s="49"/>
      <c r="BN106" s="49"/>
      <c r="BO106" s="49"/>
      <c r="BP106" s="49"/>
      <c r="BQ106" s="49"/>
      <c r="BR106" s="49"/>
      <c r="BS106" s="49"/>
      <c r="BT106" s="49"/>
      <c r="BU106" s="49"/>
      <c r="BV106" s="49"/>
      <c r="BW106" s="49"/>
      <c r="BX106" s="49"/>
      <c r="BY106" s="49"/>
      <c r="BZ106" s="49"/>
      <c r="CA106" s="49"/>
      <c r="CB106" s="49"/>
      <c r="CC106" s="49"/>
      <c r="CD106" s="49"/>
      <c r="CE106" s="49"/>
      <c r="CF106" s="49"/>
      <c r="CG106" s="49"/>
      <c r="CH106" s="49"/>
      <c r="CI106" s="49"/>
      <c r="CJ106" s="49"/>
      <c r="CK106" s="49"/>
      <c r="CL106" s="49"/>
      <c r="CM106" s="49"/>
      <c r="CN106" s="49"/>
      <c r="CO106" s="49"/>
      <c r="CP106" s="49"/>
      <c r="CQ106" s="49"/>
      <c r="CR106" s="49"/>
      <c r="CS106" s="49"/>
      <c r="CT106" s="49"/>
      <c r="CU106" s="49"/>
      <c r="CV106" s="49"/>
      <c r="CW106" s="49"/>
      <c r="CX106" s="49"/>
      <c r="CY106" s="49"/>
      <c r="CZ106" s="49"/>
    </row>
    <row r="107" spans="2:113" ht="18" customHeight="1" x14ac:dyDescent="0.4">
      <c r="B107" s="27">
        <f t="shared" si="15"/>
        <v>96</v>
      </c>
      <c r="C107" s="28"/>
      <c r="D107" s="28"/>
      <c r="E107" s="29"/>
      <c r="F107" s="30"/>
      <c r="G107" s="31"/>
      <c r="H107" s="45"/>
      <c r="I107" s="32" t="str">
        <f t="shared" si="12"/>
        <v/>
      </c>
      <c r="J107" s="33"/>
      <c r="K107" s="33"/>
      <c r="L107" s="46"/>
      <c r="M107" s="46"/>
      <c r="N107" s="36"/>
      <c r="O107" s="36"/>
      <c r="P107" s="36"/>
      <c r="Q107" s="36"/>
      <c r="R107" s="38"/>
      <c r="S107" s="38"/>
      <c r="T107" s="38"/>
      <c r="U107" s="38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8"/>
      <c r="CZ107" s="38"/>
      <c r="DA107" s="13"/>
      <c r="DB107" s="13"/>
      <c r="DC107" s="13"/>
      <c r="DD107" s="13"/>
      <c r="DE107" s="13"/>
      <c r="DF107" s="13"/>
      <c r="DG107" s="13"/>
      <c r="DH107" s="13"/>
      <c r="DI107" s="13"/>
    </row>
    <row r="108" spans="2:113" ht="18" customHeight="1" x14ac:dyDescent="0.4">
      <c r="B108" s="27">
        <f t="shared" si="15"/>
        <v>97</v>
      </c>
      <c r="C108" s="28"/>
      <c r="D108" s="29"/>
      <c r="E108" s="29"/>
      <c r="F108" s="30"/>
      <c r="G108" s="31"/>
      <c r="H108" s="45"/>
      <c r="I108" s="32" t="str">
        <f t="shared" si="12"/>
        <v/>
      </c>
      <c r="J108" s="33"/>
      <c r="K108" s="33"/>
      <c r="L108" s="46"/>
      <c r="M108" s="46"/>
      <c r="N108" s="36"/>
      <c r="O108" s="36"/>
      <c r="P108" s="36"/>
      <c r="Q108" s="36"/>
      <c r="R108" s="38"/>
      <c r="S108" s="38"/>
      <c r="T108" s="38"/>
      <c r="U108" s="38"/>
      <c r="V108" s="55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0"/>
      <c r="BG108" s="50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8"/>
      <c r="CZ108" s="38"/>
      <c r="DA108" s="13"/>
      <c r="DB108" s="13"/>
      <c r="DC108" s="13"/>
      <c r="DD108" s="13"/>
      <c r="DE108" s="13"/>
      <c r="DF108" s="13"/>
      <c r="DG108" s="13"/>
      <c r="DH108" s="13"/>
      <c r="DI108" s="13"/>
    </row>
    <row r="109" spans="2:113" ht="18" customHeight="1" x14ac:dyDescent="0.4">
      <c r="B109" s="27">
        <f t="shared" si="15"/>
        <v>98</v>
      </c>
      <c r="C109" s="28"/>
      <c r="D109" s="29"/>
      <c r="E109" s="29"/>
      <c r="F109" s="30"/>
      <c r="G109" s="31"/>
      <c r="H109" s="45"/>
      <c r="I109" s="32" t="str">
        <f t="shared" si="12"/>
        <v/>
      </c>
      <c r="J109" s="33"/>
      <c r="K109" s="33"/>
      <c r="L109" s="46"/>
      <c r="M109" s="46"/>
      <c r="N109" s="36"/>
      <c r="O109" s="36"/>
      <c r="P109" s="36"/>
      <c r="Q109" s="36"/>
      <c r="R109" s="38"/>
      <c r="S109" s="38"/>
      <c r="T109" s="52"/>
      <c r="U109" s="52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8"/>
      <c r="CZ109" s="38"/>
      <c r="DA109" s="13"/>
      <c r="DB109" s="13"/>
      <c r="DC109" s="13"/>
      <c r="DD109" s="13"/>
      <c r="DE109" s="13"/>
      <c r="DF109" s="13"/>
      <c r="DG109" s="13"/>
      <c r="DH109" s="13"/>
      <c r="DI109" s="13"/>
    </row>
    <row r="110" spans="2:113" ht="18" customHeight="1" x14ac:dyDescent="0.4">
      <c r="B110" s="27">
        <f t="shared" si="15"/>
        <v>99</v>
      </c>
      <c r="C110" s="28"/>
      <c r="D110" s="29"/>
      <c r="E110" s="29"/>
      <c r="F110" s="30"/>
      <c r="G110" s="31"/>
      <c r="H110" s="43"/>
      <c r="I110" s="32" t="str">
        <f t="shared" ref="I110:I173" si="16">IF(G110&gt;0,H110/G110,"")</f>
        <v/>
      </c>
      <c r="J110" s="33"/>
      <c r="K110" s="33"/>
      <c r="L110" s="57"/>
      <c r="M110" s="57"/>
      <c r="N110" s="47"/>
      <c r="O110" s="36"/>
      <c r="P110" s="36"/>
      <c r="Q110" s="36"/>
      <c r="R110" s="38"/>
      <c r="S110" s="38"/>
      <c r="T110" s="38"/>
      <c r="U110" s="38"/>
      <c r="V110" s="38"/>
      <c r="W110" s="38"/>
      <c r="X110" s="38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8"/>
      <c r="CZ110" s="38"/>
      <c r="DA110" s="13"/>
      <c r="DB110" s="13"/>
      <c r="DC110" s="13"/>
      <c r="DD110" s="13"/>
      <c r="DE110" s="13"/>
      <c r="DF110" s="13"/>
      <c r="DG110" s="13"/>
      <c r="DH110" s="13"/>
      <c r="DI110" s="13"/>
    </row>
    <row r="111" spans="2:113" ht="18" customHeight="1" x14ac:dyDescent="0.4">
      <c r="B111" s="27">
        <f t="shared" si="15"/>
        <v>100</v>
      </c>
      <c r="C111" s="28"/>
      <c r="D111" s="29"/>
      <c r="E111" s="29"/>
      <c r="F111" s="30"/>
      <c r="G111" s="31"/>
      <c r="H111" s="45"/>
      <c r="I111" s="32" t="str">
        <f t="shared" si="16"/>
        <v/>
      </c>
      <c r="J111" s="33"/>
      <c r="K111" s="33"/>
      <c r="L111" s="46"/>
      <c r="M111" s="46"/>
      <c r="N111" s="48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 s="49"/>
      <c r="BI111" s="49"/>
      <c r="BJ111" s="49"/>
      <c r="BK111" s="49"/>
      <c r="BL111" s="49"/>
      <c r="BM111" s="49"/>
      <c r="BN111" s="49"/>
      <c r="BO111" s="49"/>
      <c r="BP111" s="49"/>
      <c r="BQ111" s="49"/>
      <c r="BR111" s="49"/>
      <c r="BS111" s="49"/>
      <c r="BT111" s="49"/>
      <c r="BU111" s="49"/>
      <c r="BV111" s="49"/>
      <c r="BW111" s="49"/>
      <c r="BX111" s="49"/>
      <c r="BY111" s="49"/>
      <c r="BZ111" s="49"/>
      <c r="CA111" s="49"/>
      <c r="CB111" s="49"/>
      <c r="CC111" s="49"/>
      <c r="CD111" s="49"/>
      <c r="CE111" s="49"/>
      <c r="CF111" s="49"/>
      <c r="CG111" s="49"/>
      <c r="CH111" s="49"/>
      <c r="CI111" s="49"/>
      <c r="CJ111" s="49"/>
      <c r="CK111" s="49"/>
      <c r="CL111" s="49"/>
      <c r="CM111" s="49"/>
      <c r="CN111" s="49"/>
      <c r="CO111" s="49"/>
      <c r="CP111" s="49"/>
      <c r="CQ111" s="49"/>
      <c r="CR111" s="49"/>
      <c r="CS111" s="49"/>
      <c r="CT111" s="49"/>
      <c r="CU111" s="49"/>
      <c r="CV111" s="49"/>
      <c r="CW111" s="49"/>
      <c r="CX111" s="49"/>
      <c r="CY111" s="49"/>
      <c r="CZ111" s="49"/>
    </row>
    <row r="112" spans="2:113" ht="18" customHeight="1" x14ac:dyDescent="0.4">
      <c r="B112" s="27">
        <f>ROW()-11</f>
        <v>101</v>
      </c>
      <c r="C112" s="28"/>
      <c r="D112" s="28"/>
      <c r="E112" s="29"/>
      <c r="F112" s="30"/>
      <c r="G112" s="31"/>
      <c r="H112" s="31"/>
      <c r="I112" s="32" t="str">
        <f t="shared" si="16"/>
        <v/>
      </c>
      <c r="J112" s="33"/>
      <c r="K112" s="33"/>
      <c r="L112" s="34"/>
      <c r="M112" s="34"/>
      <c r="N112" s="35"/>
      <c r="O112" s="35"/>
      <c r="P112" s="35"/>
      <c r="Q112" s="35"/>
      <c r="R112" s="36"/>
      <c r="S112" s="36"/>
      <c r="T112" s="36"/>
      <c r="U112" s="36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8"/>
      <c r="CZ112" s="38"/>
      <c r="DA112" s="13"/>
      <c r="DB112" s="13"/>
      <c r="DC112" s="13"/>
      <c r="DD112" s="13"/>
      <c r="DE112" s="13"/>
      <c r="DF112" s="13"/>
      <c r="DG112" s="13"/>
      <c r="DH112" s="13"/>
      <c r="DI112" s="13"/>
    </row>
    <row r="113" spans="2:113" ht="18" customHeight="1" x14ac:dyDescent="0.4">
      <c r="B113" s="27">
        <f t="shared" ref="B113:B161" si="17">ROW()-11</f>
        <v>102</v>
      </c>
      <c r="C113" s="28"/>
      <c r="D113" s="28"/>
      <c r="E113" s="29"/>
      <c r="F113" s="30"/>
      <c r="G113" s="31"/>
      <c r="H113" s="39"/>
      <c r="I113" s="32" t="str">
        <f t="shared" si="16"/>
        <v/>
      </c>
      <c r="J113" s="33"/>
      <c r="K113" s="33"/>
      <c r="L113" s="40"/>
      <c r="M113" s="40"/>
      <c r="N113" s="36"/>
      <c r="O113" s="41"/>
      <c r="P113" s="41"/>
      <c r="Q113" s="41"/>
      <c r="R113" s="38"/>
      <c r="S113" s="38"/>
      <c r="T113" s="38"/>
      <c r="U113" s="38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8"/>
      <c r="CZ113" s="38"/>
      <c r="DA113" s="13"/>
      <c r="DB113" s="13"/>
      <c r="DC113" s="13"/>
      <c r="DD113" s="13"/>
      <c r="DE113" s="13"/>
      <c r="DF113" s="13"/>
      <c r="DG113" s="13"/>
      <c r="DH113" s="13"/>
      <c r="DI113" s="13"/>
    </row>
    <row r="114" spans="2:113" ht="18" customHeight="1" x14ac:dyDescent="0.4">
      <c r="B114" s="27">
        <f t="shared" si="17"/>
        <v>103</v>
      </c>
      <c r="C114" s="28"/>
      <c r="D114" s="28"/>
      <c r="E114" s="29"/>
      <c r="F114" s="30"/>
      <c r="G114" s="31"/>
      <c r="H114" s="43"/>
      <c r="I114" s="32" t="str">
        <f t="shared" si="16"/>
        <v/>
      </c>
      <c r="J114" s="33"/>
      <c r="K114" s="33"/>
      <c r="L114" s="40"/>
      <c r="M114" s="40"/>
      <c r="N114" s="44"/>
      <c r="O114" s="36"/>
      <c r="P114" s="36"/>
      <c r="Q114" s="36"/>
      <c r="R114" s="38"/>
      <c r="S114" s="38"/>
      <c r="T114" s="38"/>
      <c r="U114" s="38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8"/>
      <c r="CZ114" s="38"/>
      <c r="DA114" s="13"/>
      <c r="DB114" s="13"/>
      <c r="DC114" s="13"/>
      <c r="DD114" s="13"/>
      <c r="DE114" s="13"/>
      <c r="DF114" s="13"/>
      <c r="DG114" s="13"/>
      <c r="DH114" s="13"/>
      <c r="DI114" s="13"/>
    </row>
    <row r="115" spans="2:113" ht="18" customHeight="1" x14ac:dyDescent="0.4">
      <c r="B115" s="27">
        <f t="shared" si="17"/>
        <v>104</v>
      </c>
      <c r="C115" s="28"/>
      <c r="D115" s="29"/>
      <c r="E115" s="29"/>
      <c r="F115" s="30"/>
      <c r="G115" s="31"/>
      <c r="H115" s="45"/>
      <c r="I115" s="32" t="str">
        <f t="shared" si="16"/>
        <v/>
      </c>
      <c r="J115" s="33"/>
      <c r="K115" s="33"/>
      <c r="L115" s="46"/>
      <c r="M115" s="46"/>
      <c r="N115" s="44"/>
      <c r="O115" s="36"/>
      <c r="P115" s="36"/>
      <c r="Q115" s="36"/>
      <c r="R115" s="38"/>
      <c r="S115" s="38"/>
      <c r="T115" s="38"/>
      <c r="U115" s="38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8"/>
      <c r="CZ115" s="38"/>
      <c r="DA115" s="13"/>
      <c r="DB115" s="13"/>
      <c r="DC115" s="13"/>
      <c r="DD115" s="13"/>
      <c r="DE115" s="13"/>
      <c r="DF115" s="13"/>
      <c r="DG115" s="13"/>
      <c r="DH115" s="13"/>
      <c r="DI115" s="13"/>
    </row>
    <row r="116" spans="2:113" ht="18" customHeight="1" x14ac:dyDescent="0.4">
      <c r="B116" s="27">
        <f t="shared" si="17"/>
        <v>105</v>
      </c>
      <c r="C116" s="28"/>
      <c r="D116" s="28"/>
      <c r="E116" s="29"/>
      <c r="F116" s="30"/>
      <c r="G116" s="31"/>
      <c r="H116" s="39"/>
      <c r="I116" s="32" t="str">
        <f t="shared" si="16"/>
        <v/>
      </c>
      <c r="J116" s="33"/>
      <c r="K116" s="33"/>
      <c r="L116" s="34"/>
      <c r="M116" s="34"/>
      <c r="N116" s="47"/>
      <c r="O116" s="36"/>
      <c r="P116" s="36"/>
      <c r="Q116" s="36"/>
      <c r="R116" s="38"/>
      <c r="S116" s="38"/>
      <c r="T116" s="38"/>
      <c r="U116" s="38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8"/>
      <c r="CZ116" s="38"/>
      <c r="DA116" s="13"/>
      <c r="DB116" s="13"/>
      <c r="DC116" s="13"/>
      <c r="DD116" s="13"/>
      <c r="DE116" s="13"/>
      <c r="DF116" s="13"/>
      <c r="DG116" s="13"/>
      <c r="DH116" s="13"/>
      <c r="DI116" s="13"/>
    </row>
    <row r="117" spans="2:113" ht="18" customHeight="1" x14ac:dyDescent="0.4">
      <c r="B117" s="27">
        <f t="shared" si="17"/>
        <v>106</v>
      </c>
      <c r="C117" s="28"/>
      <c r="D117" s="28"/>
      <c r="E117" s="29"/>
      <c r="F117" s="30"/>
      <c r="G117" s="31"/>
      <c r="H117" s="43"/>
      <c r="I117" s="32" t="str">
        <f t="shared" si="16"/>
        <v/>
      </c>
      <c r="J117" s="33"/>
      <c r="K117" s="33"/>
      <c r="L117" s="40"/>
      <c r="M117" s="40"/>
      <c r="N117" s="48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  <c r="BA117" s="49"/>
      <c r="BB117" s="49"/>
      <c r="BC117" s="49"/>
      <c r="BD117" s="49"/>
      <c r="BE117" s="49"/>
      <c r="BF117" s="49"/>
      <c r="BG117" s="49"/>
      <c r="BH117" s="49"/>
      <c r="BI117" s="49"/>
      <c r="BJ117" s="49"/>
      <c r="BK117" s="49"/>
      <c r="BL117" s="49"/>
      <c r="BM117" s="49"/>
      <c r="BN117" s="49"/>
      <c r="BO117" s="49"/>
      <c r="BP117" s="49"/>
      <c r="BQ117" s="49"/>
      <c r="BR117" s="49"/>
      <c r="BS117" s="49"/>
      <c r="BT117" s="49"/>
      <c r="BU117" s="49"/>
      <c r="BV117" s="49"/>
      <c r="BW117" s="49"/>
      <c r="BX117" s="49"/>
      <c r="BY117" s="49"/>
      <c r="BZ117" s="49"/>
      <c r="CA117" s="49"/>
      <c r="CB117" s="49"/>
      <c r="CC117" s="49"/>
      <c r="CD117" s="49"/>
      <c r="CE117" s="49"/>
      <c r="CF117" s="49"/>
      <c r="CG117" s="49"/>
      <c r="CH117" s="49"/>
      <c r="CI117" s="49"/>
      <c r="CJ117" s="49"/>
      <c r="CK117" s="49"/>
      <c r="CL117" s="49"/>
      <c r="CM117" s="49"/>
      <c r="CN117" s="49"/>
      <c r="CO117" s="49"/>
      <c r="CP117" s="49"/>
      <c r="CQ117" s="49"/>
      <c r="CR117" s="49"/>
      <c r="CS117" s="49"/>
      <c r="CT117" s="49"/>
      <c r="CU117" s="49"/>
      <c r="CV117" s="49"/>
      <c r="CW117" s="49"/>
      <c r="CX117" s="49"/>
      <c r="CY117" s="49"/>
      <c r="CZ117" s="49"/>
    </row>
    <row r="118" spans="2:113" ht="18" customHeight="1" x14ac:dyDescent="0.4">
      <c r="B118" s="27">
        <f t="shared" si="17"/>
        <v>107</v>
      </c>
      <c r="C118" s="28"/>
      <c r="D118" s="29"/>
      <c r="E118" s="29"/>
      <c r="F118" s="30"/>
      <c r="G118" s="31"/>
      <c r="H118" s="43"/>
      <c r="I118" s="32" t="str">
        <f t="shared" si="16"/>
        <v/>
      </c>
      <c r="J118" s="33"/>
      <c r="K118" s="33"/>
      <c r="L118" s="40"/>
      <c r="M118" s="40"/>
      <c r="N118" s="48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  <c r="BA118" s="49"/>
      <c r="BB118" s="49"/>
      <c r="BC118" s="49"/>
      <c r="BD118" s="49"/>
      <c r="BE118" s="49"/>
      <c r="BF118" s="49"/>
      <c r="BG118" s="49"/>
      <c r="BH118" s="49"/>
      <c r="BI118" s="49"/>
      <c r="BJ118" s="49"/>
      <c r="BK118" s="49"/>
      <c r="BL118" s="49"/>
      <c r="BM118" s="49"/>
      <c r="BN118" s="49"/>
      <c r="BO118" s="49"/>
      <c r="BP118" s="49"/>
      <c r="BQ118" s="49"/>
      <c r="BR118" s="49"/>
      <c r="BS118" s="49"/>
      <c r="BT118" s="49"/>
      <c r="BU118" s="49"/>
      <c r="BV118" s="49"/>
      <c r="BW118" s="49"/>
      <c r="BX118" s="49"/>
      <c r="BY118" s="49"/>
      <c r="BZ118" s="49"/>
      <c r="CA118" s="49"/>
      <c r="CB118" s="49"/>
      <c r="CC118" s="49"/>
      <c r="CD118" s="49"/>
      <c r="CE118" s="49"/>
      <c r="CF118" s="49"/>
      <c r="CG118" s="49"/>
      <c r="CH118" s="49"/>
      <c r="CI118" s="49"/>
      <c r="CJ118" s="49"/>
      <c r="CK118" s="49"/>
      <c r="CL118" s="49"/>
      <c r="CM118" s="49"/>
      <c r="CN118" s="49"/>
      <c r="CO118" s="49"/>
      <c r="CP118" s="49"/>
      <c r="CQ118" s="49"/>
      <c r="CR118" s="49"/>
      <c r="CS118" s="49"/>
      <c r="CT118" s="49"/>
      <c r="CU118" s="49"/>
      <c r="CV118" s="49"/>
      <c r="CW118" s="49"/>
      <c r="CX118" s="49"/>
      <c r="CY118" s="49"/>
      <c r="CZ118" s="49"/>
    </row>
    <row r="119" spans="2:113" ht="18" customHeight="1" x14ac:dyDescent="0.4">
      <c r="B119" s="27">
        <f t="shared" si="17"/>
        <v>108</v>
      </c>
      <c r="C119" s="28"/>
      <c r="D119" s="29"/>
      <c r="E119" s="29"/>
      <c r="F119" s="30"/>
      <c r="G119" s="31"/>
      <c r="H119" s="39"/>
      <c r="I119" s="32" t="str">
        <f t="shared" si="16"/>
        <v/>
      </c>
      <c r="J119" s="33"/>
      <c r="K119" s="33"/>
      <c r="L119" s="40"/>
      <c r="M119" s="40"/>
      <c r="N119" s="36"/>
      <c r="O119" s="36"/>
      <c r="P119" s="36"/>
      <c r="Q119" s="36"/>
      <c r="R119" s="38"/>
      <c r="S119" s="38"/>
      <c r="T119" s="38"/>
      <c r="U119" s="38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8"/>
      <c r="CZ119" s="38"/>
      <c r="DA119" s="13"/>
      <c r="DB119" s="13"/>
      <c r="DC119" s="13"/>
      <c r="DD119" s="13"/>
      <c r="DE119" s="13"/>
      <c r="DF119" s="13"/>
      <c r="DG119" s="13"/>
      <c r="DH119" s="13"/>
      <c r="DI119" s="13"/>
    </row>
    <row r="120" spans="2:113" ht="18" customHeight="1" x14ac:dyDescent="0.4">
      <c r="B120" s="27">
        <f t="shared" si="17"/>
        <v>109</v>
      </c>
      <c r="C120" s="28"/>
      <c r="D120" s="29"/>
      <c r="E120" s="29"/>
      <c r="F120" s="30"/>
      <c r="G120" s="31"/>
      <c r="H120" s="43"/>
      <c r="I120" s="32" t="str">
        <f t="shared" si="16"/>
        <v/>
      </c>
      <c r="J120" s="33"/>
      <c r="K120" s="33"/>
      <c r="L120" s="40"/>
      <c r="M120" s="40"/>
      <c r="N120" s="44"/>
      <c r="O120" s="36"/>
      <c r="P120" s="36"/>
      <c r="Q120" s="36"/>
      <c r="R120" s="36"/>
      <c r="S120" s="36"/>
      <c r="T120" s="38"/>
      <c r="U120" s="38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8"/>
      <c r="CZ120" s="38"/>
      <c r="DA120" s="13"/>
      <c r="DB120" s="13"/>
      <c r="DC120" s="13"/>
      <c r="DD120" s="13"/>
      <c r="DE120" s="13"/>
      <c r="DF120" s="13"/>
      <c r="DG120" s="13"/>
      <c r="DH120" s="13"/>
      <c r="DI120" s="13"/>
    </row>
    <row r="121" spans="2:113" ht="18" customHeight="1" x14ac:dyDescent="0.4">
      <c r="B121" s="27">
        <f t="shared" si="17"/>
        <v>110</v>
      </c>
      <c r="C121" s="28"/>
      <c r="D121" s="28"/>
      <c r="E121" s="29"/>
      <c r="F121" s="30"/>
      <c r="G121" s="31"/>
      <c r="H121" s="39"/>
      <c r="I121" s="32" t="str">
        <f t="shared" si="16"/>
        <v/>
      </c>
      <c r="J121" s="33"/>
      <c r="K121" s="33"/>
      <c r="L121" s="40"/>
      <c r="M121" s="40"/>
      <c r="N121" s="41"/>
      <c r="O121" s="36"/>
      <c r="P121" s="36"/>
      <c r="Q121" s="41"/>
      <c r="R121" s="38"/>
      <c r="S121" s="38"/>
      <c r="T121" s="38"/>
      <c r="U121" s="38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8"/>
      <c r="CZ121" s="38"/>
      <c r="DA121" s="13"/>
      <c r="DB121" s="13"/>
      <c r="DC121" s="13"/>
      <c r="DD121" s="13"/>
      <c r="DE121" s="13"/>
      <c r="DF121" s="13"/>
      <c r="DG121" s="13"/>
      <c r="DH121" s="13"/>
      <c r="DI121" s="13"/>
    </row>
    <row r="122" spans="2:113" ht="18" customHeight="1" x14ac:dyDescent="0.4">
      <c r="B122" s="27">
        <f t="shared" si="17"/>
        <v>111</v>
      </c>
      <c r="C122" s="28"/>
      <c r="D122" s="28"/>
      <c r="E122" s="29"/>
      <c r="F122" s="30"/>
      <c r="G122" s="31"/>
      <c r="H122" s="39"/>
      <c r="I122" s="32" t="str">
        <f t="shared" si="16"/>
        <v/>
      </c>
      <c r="J122" s="33"/>
      <c r="K122" s="33"/>
      <c r="L122" s="40"/>
      <c r="M122" s="40"/>
      <c r="N122" s="36"/>
      <c r="O122" s="36"/>
      <c r="P122" s="36"/>
      <c r="Q122" s="36"/>
      <c r="R122" s="38"/>
      <c r="S122" s="38"/>
      <c r="T122" s="38"/>
      <c r="U122" s="38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6"/>
      <c r="BG122" s="36"/>
      <c r="BH122" s="36"/>
      <c r="BI122" s="36"/>
      <c r="BJ122" s="50"/>
      <c r="BK122" s="50"/>
      <c r="BL122" s="50"/>
      <c r="BM122" s="50"/>
      <c r="BN122" s="50"/>
      <c r="BO122" s="36"/>
      <c r="BP122" s="36"/>
      <c r="BQ122" s="39"/>
      <c r="BR122" s="39"/>
      <c r="BS122" s="39"/>
      <c r="BT122" s="39"/>
      <c r="BU122" s="39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8"/>
      <c r="CZ122" s="38"/>
      <c r="DA122" s="13"/>
      <c r="DB122" s="13"/>
      <c r="DC122" s="13"/>
      <c r="DD122" s="13"/>
      <c r="DE122" s="13"/>
      <c r="DF122" s="13"/>
      <c r="DG122" s="13"/>
      <c r="DH122" s="13"/>
      <c r="DI122" s="13"/>
    </row>
    <row r="123" spans="2:113" ht="18" customHeight="1" x14ac:dyDescent="0.4">
      <c r="B123" s="27">
        <f t="shared" si="17"/>
        <v>112</v>
      </c>
      <c r="C123" s="28"/>
      <c r="D123" s="28"/>
      <c r="E123" s="29"/>
      <c r="F123" s="30"/>
      <c r="G123" s="31"/>
      <c r="H123" s="43"/>
      <c r="I123" s="32" t="str">
        <f t="shared" si="16"/>
        <v/>
      </c>
      <c r="J123" s="33"/>
      <c r="K123" s="33"/>
      <c r="L123" s="40"/>
      <c r="M123" s="40"/>
      <c r="N123" s="47"/>
      <c r="O123" s="36"/>
      <c r="P123" s="36"/>
      <c r="Q123" s="36"/>
      <c r="R123" s="38"/>
      <c r="S123" s="38"/>
      <c r="T123" s="38"/>
      <c r="U123" s="38"/>
      <c r="V123" s="42"/>
      <c r="W123" s="42"/>
      <c r="X123" s="42"/>
      <c r="Y123" s="42"/>
      <c r="Z123" s="42"/>
      <c r="AA123" s="37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8"/>
      <c r="CZ123" s="38"/>
      <c r="DA123" s="13"/>
      <c r="DB123" s="13"/>
      <c r="DC123" s="13"/>
      <c r="DD123" s="13"/>
      <c r="DE123" s="13"/>
      <c r="DF123" s="13"/>
      <c r="DG123" s="13"/>
      <c r="DH123" s="13"/>
      <c r="DI123" s="13"/>
    </row>
    <row r="124" spans="2:113" ht="18" customHeight="1" x14ac:dyDescent="0.4">
      <c r="B124" s="27">
        <f t="shared" si="17"/>
        <v>113</v>
      </c>
      <c r="C124" s="28"/>
      <c r="D124" s="29"/>
      <c r="E124" s="29"/>
      <c r="F124" s="30"/>
      <c r="G124" s="31"/>
      <c r="H124" s="39"/>
      <c r="I124" s="32" t="str">
        <f t="shared" si="16"/>
        <v/>
      </c>
      <c r="J124" s="33"/>
      <c r="K124" s="33"/>
      <c r="L124" s="40"/>
      <c r="M124" s="40"/>
      <c r="N124" s="44"/>
      <c r="O124" s="36"/>
      <c r="P124" s="36"/>
      <c r="Q124" s="36"/>
      <c r="R124" s="36"/>
      <c r="S124" s="36"/>
      <c r="T124" s="38"/>
      <c r="U124" s="38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8"/>
      <c r="CZ124" s="38"/>
      <c r="DA124" s="13"/>
      <c r="DB124" s="13"/>
      <c r="DC124" s="13"/>
      <c r="DD124" s="13"/>
      <c r="DE124" s="13"/>
      <c r="DF124" s="13"/>
      <c r="DG124" s="13"/>
      <c r="DH124" s="13"/>
      <c r="DI124" s="13"/>
    </row>
    <row r="125" spans="2:113" ht="18" customHeight="1" x14ac:dyDescent="0.4">
      <c r="B125" s="27">
        <f t="shared" si="17"/>
        <v>114</v>
      </c>
      <c r="C125" s="28"/>
      <c r="D125" s="51"/>
      <c r="E125" s="29"/>
      <c r="F125" s="30"/>
      <c r="G125" s="31"/>
      <c r="H125" s="39"/>
      <c r="I125" s="32" t="str">
        <f t="shared" si="16"/>
        <v/>
      </c>
      <c r="J125" s="33"/>
      <c r="K125" s="33"/>
      <c r="L125" s="34"/>
      <c r="M125" s="34"/>
      <c r="N125" s="48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  <c r="AT125" s="49"/>
      <c r="AU125" s="49"/>
      <c r="AV125" s="49"/>
      <c r="AW125" s="49"/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 s="49"/>
      <c r="BI125" s="49"/>
      <c r="BJ125" s="49"/>
      <c r="BK125" s="49"/>
      <c r="BL125" s="49"/>
      <c r="BM125" s="49"/>
      <c r="BN125" s="49"/>
      <c r="BO125" s="49"/>
      <c r="BP125" s="49"/>
      <c r="BQ125" s="49"/>
      <c r="BR125" s="49"/>
      <c r="BS125" s="49"/>
      <c r="BT125" s="49"/>
      <c r="BU125" s="49"/>
      <c r="BV125" s="49"/>
      <c r="BW125" s="49"/>
      <c r="BX125" s="49"/>
      <c r="BY125" s="49"/>
      <c r="BZ125" s="49"/>
      <c r="CA125" s="49"/>
      <c r="CB125" s="49"/>
      <c r="CC125" s="49"/>
      <c r="CD125" s="49"/>
      <c r="CE125" s="49"/>
      <c r="CF125" s="49"/>
      <c r="CG125" s="49"/>
      <c r="CH125" s="49"/>
      <c r="CI125" s="49"/>
      <c r="CJ125" s="49"/>
      <c r="CK125" s="49"/>
      <c r="CL125" s="49"/>
      <c r="CM125" s="49"/>
      <c r="CN125" s="49"/>
      <c r="CO125" s="49"/>
      <c r="CP125" s="49"/>
      <c r="CQ125" s="49"/>
      <c r="CR125" s="49"/>
      <c r="CS125" s="49"/>
      <c r="CT125" s="49"/>
      <c r="CU125" s="49"/>
      <c r="CV125" s="49"/>
      <c r="CW125" s="49"/>
      <c r="CX125" s="49"/>
      <c r="CY125" s="49"/>
      <c r="CZ125" s="49"/>
    </row>
    <row r="126" spans="2:113" ht="18" customHeight="1" x14ac:dyDescent="0.4">
      <c r="B126" s="27">
        <f t="shared" si="17"/>
        <v>115</v>
      </c>
      <c r="C126" s="28"/>
      <c r="D126" s="29"/>
      <c r="E126" s="29"/>
      <c r="F126" s="30"/>
      <c r="G126" s="31"/>
      <c r="H126" s="39"/>
      <c r="I126" s="32" t="str">
        <f t="shared" si="16"/>
        <v/>
      </c>
      <c r="J126" s="33"/>
      <c r="K126" s="33"/>
      <c r="L126" s="34"/>
      <c r="M126" s="34"/>
      <c r="N126" s="36"/>
      <c r="O126" s="36"/>
      <c r="P126" s="36"/>
      <c r="Q126" s="36"/>
      <c r="R126" s="38"/>
      <c r="S126" s="38"/>
      <c r="T126" s="36"/>
      <c r="U126" s="36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8"/>
      <c r="CZ126" s="38"/>
      <c r="DA126" s="13"/>
      <c r="DB126" s="13"/>
      <c r="DC126" s="13"/>
      <c r="DD126" s="13"/>
      <c r="DE126" s="13"/>
      <c r="DF126" s="13"/>
      <c r="DG126" s="13"/>
      <c r="DH126" s="13"/>
      <c r="DI126" s="13"/>
    </row>
    <row r="127" spans="2:113" ht="18" customHeight="1" x14ac:dyDescent="0.4">
      <c r="B127" s="27">
        <f t="shared" si="17"/>
        <v>116</v>
      </c>
      <c r="C127" s="28"/>
      <c r="D127" s="29"/>
      <c r="E127" s="29"/>
      <c r="F127" s="30"/>
      <c r="G127" s="31"/>
      <c r="H127" s="39"/>
      <c r="I127" s="32" t="str">
        <f t="shared" si="16"/>
        <v/>
      </c>
      <c r="J127" s="33"/>
      <c r="K127" s="33"/>
      <c r="L127" s="34"/>
      <c r="M127" s="34"/>
      <c r="N127" s="44"/>
      <c r="O127" s="36"/>
      <c r="P127" s="36"/>
      <c r="Q127" s="36"/>
      <c r="R127" s="38"/>
      <c r="S127" s="38"/>
      <c r="T127" s="38"/>
      <c r="U127" s="38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8"/>
      <c r="CZ127" s="38"/>
      <c r="DA127" s="13"/>
      <c r="DB127" s="13"/>
      <c r="DC127" s="13"/>
      <c r="DD127" s="13"/>
      <c r="DE127" s="13"/>
      <c r="DF127" s="13"/>
      <c r="DG127" s="13"/>
      <c r="DH127" s="13"/>
      <c r="DI127" s="13"/>
    </row>
    <row r="128" spans="2:113" ht="18" customHeight="1" x14ac:dyDescent="0.4">
      <c r="B128" s="27">
        <f t="shared" si="17"/>
        <v>117</v>
      </c>
      <c r="C128" s="28"/>
      <c r="D128" s="29"/>
      <c r="E128" s="29"/>
      <c r="F128" s="30"/>
      <c r="G128" s="31"/>
      <c r="H128" s="43"/>
      <c r="I128" s="32" t="str">
        <f t="shared" si="16"/>
        <v/>
      </c>
      <c r="J128" s="33"/>
      <c r="K128" s="33"/>
      <c r="L128" s="34"/>
      <c r="M128" s="34"/>
      <c r="N128" s="44"/>
      <c r="O128" s="36"/>
      <c r="P128" s="36"/>
      <c r="Q128" s="36"/>
      <c r="R128" s="36"/>
      <c r="S128" s="36"/>
      <c r="T128" s="38"/>
      <c r="U128" s="38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8"/>
      <c r="CZ128" s="38"/>
      <c r="DA128" s="13"/>
      <c r="DB128" s="13"/>
      <c r="DC128" s="13"/>
      <c r="DD128" s="13"/>
      <c r="DE128" s="13"/>
      <c r="DF128" s="13"/>
      <c r="DG128" s="13"/>
      <c r="DH128" s="13"/>
      <c r="DI128" s="13"/>
    </row>
    <row r="129" spans="2:113" ht="18" customHeight="1" x14ac:dyDescent="0.4">
      <c r="B129" s="27">
        <f t="shared" si="17"/>
        <v>118</v>
      </c>
      <c r="C129" s="28"/>
      <c r="D129" s="29"/>
      <c r="E129" s="29"/>
      <c r="F129" s="30"/>
      <c r="G129" s="31"/>
      <c r="H129" s="39"/>
      <c r="I129" s="32" t="str">
        <f t="shared" si="16"/>
        <v/>
      </c>
      <c r="J129" s="33"/>
      <c r="K129" s="33"/>
      <c r="L129" s="40"/>
      <c r="M129" s="40"/>
      <c r="N129" s="44"/>
      <c r="O129" s="36"/>
      <c r="P129" s="36"/>
      <c r="Q129" s="36"/>
      <c r="R129" s="36"/>
      <c r="S129" s="36"/>
      <c r="T129" s="38"/>
      <c r="U129" s="38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8"/>
      <c r="CZ129" s="38"/>
      <c r="DA129" s="13"/>
      <c r="DB129" s="13"/>
      <c r="DC129" s="13"/>
      <c r="DD129" s="13"/>
      <c r="DE129" s="13"/>
      <c r="DF129" s="13"/>
      <c r="DG129" s="13"/>
      <c r="DH129" s="13"/>
      <c r="DI129" s="13"/>
    </row>
    <row r="130" spans="2:113" ht="18" customHeight="1" x14ac:dyDescent="0.4">
      <c r="B130" s="27">
        <f t="shared" si="17"/>
        <v>119</v>
      </c>
      <c r="C130" s="28"/>
      <c r="D130" s="29"/>
      <c r="E130" s="29"/>
      <c r="F130" s="30"/>
      <c r="G130" s="31"/>
      <c r="H130" s="39"/>
      <c r="I130" s="32" t="str">
        <f t="shared" si="16"/>
        <v/>
      </c>
      <c r="J130" s="33"/>
      <c r="K130" s="33"/>
      <c r="L130" s="34"/>
      <c r="M130" s="34"/>
      <c r="N130" s="36"/>
      <c r="O130" s="36"/>
      <c r="P130" s="36"/>
      <c r="Q130" s="36"/>
      <c r="R130" s="38"/>
      <c r="S130" s="38"/>
      <c r="T130" s="36"/>
      <c r="U130" s="36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8"/>
      <c r="CZ130" s="38"/>
      <c r="DA130" s="13"/>
      <c r="DB130" s="13"/>
      <c r="DC130" s="13"/>
      <c r="DD130" s="13"/>
      <c r="DE130" s="13"/>
      <c r="DF130" s="13"/>
      <c r="DG130" s="13"/>
      <c r="DH130" s="13"/>
      <c r="DI130" s="13"/>
    </row>
    <row r="131" spans="2:113" ht="18" customHeight="1" x14ac:dyDescent="0.4">
      <c r="B131" s="27">
        <f t="shared" si="17"/>
        <v>120</v>
      </c>
      <c r="C131" s="28"/>
      <c r="D131" s="28"/>
      <c r="E131" s="29"/>
      <c r="F131" s="30"/>
      <c r="G131" s="31"/>
      <c r="H131" s="39"/>
      <c r="I131" s="32" t="str">
        <f t="shared" si="16"/>
        <v/>
      </c>
      <c r="J131" s="33"/>
      <c r="K131" s="33"/>
      <c r="L131" s="40"/>
      <c r="M131" s="40"/>
      <c r="N131" s="36"/>
      <c r="O131" s="36"/>
      <c r="P131" s="36"/>
      <c r="Q131" s="36"/>
      <c r="R131" s="38"/>
      <c r="S131" s="38"/>
      <c r="T131" s="36"/>
      <c r="U131" s="36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8"/>
      <c r="CZ131" s="38"/>
      <c r="DA131" s="13"/>
      <c r="DB131" s="13"/>
      <c r="DC131" s="13"/>
      <c r="DD131" s="13"/>
      <c r="DE131" s="13"/>
      <c r="DF131" s="13"/>
      <c r="DG131" s="13"/>
      <c r="DH131" s="13"/>
      <c r="DI131" s="13"/>
    </row>
    <row r="132" spans="2:113" ht="18" customHeight="1" x14ac:dyDescent="0.4">
      <c r="B132" s="27">
        <f t="shared" si="17"/>
        <v>121</v>
      </c>
      <c r="C132" s="28"/>
      <c r="D132" s="29"/>
      <c r="E132" s="29"/>
      <c r="F132" s="30"/>
      <c r="G132" s="31"/>
      <c r="H132" s="39"/>
      <c r="I132" s="32" t="str">
        <f t="shared" si="16"/>
        <v/>
      </c>
      <c r="J132" s="33"/>
      <c r="K132" s="33"/>
      <c r="L132" s="40"/>
      <c r="M132" s="40"/>
      <c r="N132" s="36"/>
      <c r="O132" s="36"/>
      <c r="P132" s="36"/>
      <c r="Q132" s="36"/>
      <c r="R132" s="38"/>
      <c r="S132" s="38"/>
      <c r="T132" s="36"/>
      <c r="U132" s="36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8"/>
      <c r="CZ132" s="38"/>
      <c r="DA132" s="13"/>
      <c r="DB132" s="13"/>
      <c r="DC132" s="13"/>
      <c r="DD132" s="13"/>
      <c r="DE132" s="13"/>
      <c r="DF132" s="13"/>
      <c r="DG132" s="13"/>
      <c r="DH132" s="13"/>
      <c r="DI132" s="13"/>
    </row>
    <row r="133" spans="2:113" ht="18" customHeight="1" x14ac:dyDescent="0.4">
      <c r="B133" s="27">
        <f t="shared" si="17"/>
        <v>122</v>
      </c>
      <c r="C133" s="28"/>
      <c r="D133" s="29"/>
      <c r="E133" s="29"/>
      <c r="F133" s="30"/>
      <c r="G133" s="31"/>
      <c r="H133" s="39"/>
      <c r="I133" s="32" t="str">
        <f t="shared" si="16"/>
        <v/>
      </c>
      <c r="J133" s="33"/>
      <c r="K133" s="33"/>
      <c r="L133" s="40"/>
      <c r="M133" s="40"/>
      <c r="N133" s="36"/>
      <c r="O133" s="36"/>
      <c r="P133" s="36"/>
      <c r="Q133" s="36"/>
      <c r="R133" s="38"/>
      <c r="S133" s="38"/>
      <c r="T133" s="36"/>
      <c r="U133" s="36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8"/>
      <c r="CZ133" s="38"/>
      <c r="DA133" s="13"/>
      <c r="DB133" s="13"/>
      <c r="DC133" s="13"/>
      <c r="DD133" s="13"/>
      <c r="DE133" s="13"/>
      <c r="DF133" s="13"/>
      <c r="DG133" s="13"/>
      <c r="DH133" s="13"/>
      <c r="DI133" s="13"/>
    </row>
    <row r="134" spans="2:113" ht="18" customHeight="1" x14ac:dyDescent="0.4">
      <c r="B134" s="27">
        <f t="shared" si="17"/>
        <v>123</v>
      </c>
      <c r="C134" s="28"/>
      <c r="D134" s="29"/>
      <c r="E134" s="29"/>
      <c r="F134" s="30"/>
      <c r="G134" s="31"/>
      <c r="H134" s="39"/>
      <c r="I134" s="32" t="str">
        <f t="shared" si="16"/>
        <v/>
      </c>
      <c r="J134" s="33"/>
      <c r="K134" s="33"/>
      <c r="L134" s="34"/>
      <c r="M134" s="34"/>
      <c r="N134" s="36"/>
      <c r="O134" s="36"/>
      <c r="P134" s="36"/>
      <c r="Q134" s="36"/>
      <c r="R134" s="38"/>
      <c r="S134" s="38"/>
      <c r="T134" s="38"/>
      <c r="U134" s="38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50"/>
      <c r="BY134" s="50"/>
      <c r="BZ134" s="50"/>
      <c r="CA134" s="50"/>
      <c r="CB134" s="50"/>
      <c r="CC134" s="36"/>
      <c r="CD134" s="36"/>
      <c r="CE134" s="50"/>
      <c r="CF134" s="50"/>
      <c r="CG134" s="50"/>
      <c r="CH134" s="50"/>
      <c r="CI134" s="50"/>
      <c r="CJ134" s="36"/>
      <c r="CK134" s="36"/>
      <c r="CL134" s="50"/>
      <c r="CM134" s="50"/>
      <c r="CN134" s="50"/>
      <c r="CO134" s="50"/>
      <c r="CP134" s="50"/>
      <c r="CQ134" s="36"/>
      <c r="CR134" s="36"/>
      <c r="CS134" s="39"/>
      <c r="CT134" s="39"/>
      <c r="CU134" s="39"/>
      <c r="CV134" s="39"/>
      <c r="CW134" s="39"/>
      <c r="CX134" s="36"/>
      <c r="CY134" s="38"/>
      <c r="CZ134" s="38"/>
      <c r="DA134" s="13"/>
      <c r="DB134" s="13"/>
      <c r="DC134" s="13"/>
      <c r="DD134" s="13"/>
      <c r="DE134" s="13"/>
      <c r="DF134" s="13"/>
      <c r="DG134" s="13"/>
      <c r="DH134" s="13"/>
      <c r="DI134" s="13"/>
    </row>
    <row r="135" spans="2:113" ht="18" customHeight="1" x14ac:dyDescent="0.4">
      <c r="B135" s="27">
        <f t="shared" si="17"/>
        <v>124</v>
      </c>
      <c r="C135" s="28"/>
      <c r="D135" s="29"/>
      <c r="E135" s="29"/>
      <c r="F135" s="30"/>
      <c r="G135" s="31"/>
      <c r="H135" s="43"/>
      <c r="I135" s="32" t="str">
        <f t="shared" si="16"/>
        <v/>
      </c>
      <c r="J135" s="33"/>
      <c r="K135" s="33"/>
      <c r="L135" s="40"/>
      <c r="M135" s="40"/>
      <c r="N135" s="36"/>
      <c r="O135" s="36"/>
      <c r="P135" s="36"/>
      <c r="Q135" s="36"/>
      <c r="R135" s="38"/>
      <c r="S135" s="38"/>
      <c r="T135" s="38"/>
      <c r="U135" s="38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50"/>
      <c r="BG135" s="50"/>
      <c r="BH135" s="36"/>
      <c r="BI135" s="36"/>
      <c r="BJ135" s="50"/>
      <c r="BK135" s="50"/>
      <c r="BL135" s="50"/>
      <c r="BM135" s="50"/>
      <c r="BN135" s="50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8"/>
      <c r="CZ135" s="38"/>
      <c r="DA135" s="13"/>
      <c r="DB135" s="13"/>
      <c r="DC135" s="13"/>
      <c r="DD135" s="13"/>
      <c r="DE135" s="13"/>
      <c r="DF135" s="13"/>
      <c r="DG135" s="13"/>
      <c r="DH135" s="13"/>
      <c r="DI135" s="13"/>
    </row>
    <row r="136" spans="2:113" ht="18" customHeight="1" x14ac:dyDescent="0.4">
      <c r="B136" s="27">
        <f t="shared" si="17"/>
        <v>125</v>
      </c>
      <c r="C136" s="28"/>
      <c r="D136" s="29"/>
      <c r="E136" s="29"/>
      <c r="F136" s="30"/>
      <c r="G136" s="31"/>
      <c r="H136" s="39"/>
      <c r="I136" s="32" t="str">
        <f t="shared" si="16"/>
        <v/>
      </c>
      <c r="J136" s="33"/>
      <c r="K136" s="33"/>
      <c r="L136" s="40"/>
      <c r="M136" s="40"/>
      <c r="N136" s="36"/>
      <c r="O136" s="36"/>
      <c r="P136" s="36"/>
      <c r="Q136" s="36"/>
      <c r="R136" s="38"/>
      <c r="S136" s="38"/>
      <c r="T136" s="52"/>
      <c r="U136" s="5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39"/>
      <c r="BG136" s="39"/>
      <c r="BH136" s="36"/>
      <c r="BI136" s="36"/>
      <c r="BJ136" s="39"/>
      <c r="BK136" s="39"/>
      <c r="BL136" s="39"/>
      <c r="BM136" s="39"/>
      <c r="BN136" s="39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8"/>
      <c r="CZ136" s="38"/>
      <c r="DA136" s="13"/>
      <c r="DB136" s="13"/>
      <c r="DC136" s="13"/>
      <c r="DD136" s="13"/>
      <c r="DE136" s="13"/>
      <c r="DF136" s="13"/>
      <c r="DG136" s="13"/>
      <c r="DH136" s="13"/>
      <c r="DI136" s="13"/>
    </row>
    <row r="137" spans="2:113" ht="18" customHeight="1" x14ac:dyDescent="0.4">
      <c r="B137" s="27">
        <f t="shared" si="17"/>
        <v>126</v>
      </c>
      <c r="C137" s="28"/>
      <c r="D137" s="28"/>
      <c r="E137" s="29"/>
      <c r="F137" s="30"/>
      <c r="G137" s="31"/>
      <c r="H137" s="43"/>
      <c r="I137" s="32" t="str">
        <f t="shared" si="16"/>
        <v/>
      </c>
      <c r="J137" s="33"/>
      <c r="K137" s="33"/>
      <c r="L137" s="34"/>
      <c r="M137" s="34"/>
      <c r="N137" s="44"/>
      <c r="O137" s="36"/>
      <c r="P137" s="36"/>
      <c r="Q137" s="36"/>
      <c r="R137" s="36"/>
      <c r="S137" s="36"/>
      <c r="T137" s="38"/>
      <c r="U137" s="38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8"/>
      <c r="CZ137" s="38"/>
      <c r="DA137" s="13"/>
      <c r="DB137" s="13"/>
      <c r="DC137" s="13"/>
      <c r="DD137" s="13"/>
      <c r="DE137" s="13"/>
      <c r="DF137" s="13"/>
      <c r="DG137" s="13"/>
      <c r="DH137" s="13"/>
      <c r="DI137" s="13"/>
    </row>
    <row r="138" spans="2:113" ht="18" customHeight="1" x14ac:dyDescent="0.4">
      <c r="B138" s="27">
        <f t="shared" si="17"/>
        <v>127</v>
      </c>
      <c r="C138" s="28"/>
      <c r="D138" s="29"/>
      <c r="E138" s="29"/>
      <c r="F138" s="30"/>
      <c r="G138" s="31"/>
      <c r="H138" s="45"/>
      <c r="I138" s="32" t="str">
        <f t="shared" si="16"/>
        <v/>
      </c>
      <c r="J138" s="33"/>
      <c r="K138" s="33"/>
      <c r="L138" s="46"/>
      <c r="M138" s="46"/>
      <c r="N138" s="36"/>
      <c r="O138" s="36"/>
      <c r="P138" s="36"/>
      <c r="Q138" s="36"/>
      <c r="R138" s="38"/>
      <c r="S138" s="38"/>
      <c r="T138" s="52"/>
      <c r="U138" s="5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8"/>
      <c r="CZ138" s="38"/>
      <c r="DA138" s="13"/>
      <c r="DB138" s="13"/>
      <c r="DC138" s="13"/>
      <c r="DD138" s="13"/>
      <c r="DE138" s="13"/>
      <c r="DF138" s="13"/>
      <c r="DG138" s="13"/>
      <c r="DH138" s="13"/>
      <c r="DI138" s="13"/>
    </row>
    <row r="139" spans="2:113" ht="18" customHeight="1" x14ac:dyDescent="0.4">
      <c r="B139" s="27">
        <f t="shared" si="17"/>
        <v>128</v>
      </c>
      <c r="C139" s="28"/>
      <c r="D139" s="29"/>
      <c r="E139" s="29"/>
      <c r="F139" s="30"/>
      <c r="G139" s="31"/>
      <c r="H139" s="45"/>
      <c r="I139" s="32" t="str">
        <f t="shared" si="16"/>
        <v/>
      </c>
      <c r="J139" s="33"/>
      <c r="K139" s="33"/>
      <c r="L139" s="46"/>
      <c r="M139" s="46"/>
      <c r="N139" s="41"/>
      <c r="O139" s="36"/>
      <c r="P139" s="36"/>
      <c r="Q139" s="41"/>
      <c r="R139" s="38"/>
      <c r="S139" s="38"/>
      <c r="T139" s="38"/>
      <c r="U139" s="38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37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8"/>
      <c r="CZ139" s="38"/>
      <c r="DA139" s="13"/>
      <c r="DB139" s="13"/>
      <c r="DC139" s="13"/>
      <c r="DD139" s="13"/>
      <c r="DE139" s="13"/>
      <c r="DF139" s="13"/>
      <c r="DG139" s="13"/>
      <c r="DH139" s="13"/>
      <c r="DI139" s="13"/>
    </row>
    <row r="140" spans="2:113" ht="18" customHeight="1" x14ac:dyDescent="0.4">
      <c r="B140" s="27">
        <f t="shared" si="17"/>
        <v>129</v>
      </c>
      <c r="C140" s="28"/>
      <c r="D140" s="28"/>
      <c r="E140" s="29"/>
      <c r="F140" s="30"/>
      <c r="G140" s="31"/>
      <c r="H140" s="43"/>
      <c r="I140" s="32" t="str">
        <f t="shared" si="16"/>
        <v/>
      </c>
      <c r="J140" s="33"/>
      <c r="K140" s="33"/>
      <c r="L140" s="34"/>
      <c r="M140" s="34"/>
      <c r="N140" s="36"/>
      <c r="O140" s="36"/>
      <c r="P140" s="36"/>
      <c r="Q140" s="36"/>
      <c r="R140" s="38"/>
      <c r="S140" s="38"/>
      <c r="T140" s="38"/>
      <c r="U140" s="38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8"/>
      <c r="CZ140" s="38"/>
      <c r="DA140" s="13"/>
      <c r="DB140" s="13"/>
      <c r="DC140" s="13"/>
      <c r="DD140" s="13"/>
      <c r="DE140" s="13"/>
      <c r="DF140" s="13"/>
      <c r="DG140" s="13"/>
      <c r="DH140" s="13"/>
      <c r="DI140" s="13"/>
    </row>
    <row r="141" spans="2:113" ht="18" customHeight="1" x14ac:dyDescent="0.4">
      <c r="B141" s="27">
        <f t="shared" si="17"/>
        <v>130</v>
      </c>
      <c r="C141" s="28"/>
      <c r="D141" s="28"/>
      <c r="E141" s="29"/>
      <c r="F141" s="30"/>
      <c r="G141" s="31"/>
      <c r="H141" s="39"/>
      <c r="I141" s="32" t="str">
        <f t="shared" si="16"/>
        <v/>
      </c>
      <c r="J141" s="33"/>
      <c r="K141" s="33"/>
      <c r="L141" s="34"/>
      <c r="M141" s="34"/>
      <c r="N141" s="47"/>
      <c r="O141" s="36"/>
      <c r="P141" s="36"/>
      <c r="Q141" s="36"/>
      <c r="R141" s="38"/>
      <c r="S141" s="38"/>
      <c r="T141" s="38"/>
      <c r="U141" s="38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8"/>
      <c r="CZ141" s="38"/>
      <c r="DA141" s="13"/>
      <c r="DB141" s="13"/>
      <c r="DC141" s="13"/>
      <c r="DD141" s="13"/>
      <c r="DE141" s="13"/>
      <c r="DF141" s="13"/>
      <c r="DG141" s="13"/>
      <c r="DH141" s="13"/>
      <c r="DI141" s="13"/>
    </row>
    <row r="142" spans="2:113" ht="18" customHeight="1" x14ac:dyDescent="0.4">
      <c r="B142" s="27">
        <f t="shared" si="17"/>
        <v>131</v>
      </c>
      <c r="C142" s="28"/>
      <c r="D142" s="28"/>
      <c r="E142" s="29"/>
      <c r="F142" s="30"/>
      <c r="G142" s="31"/>
      <c r="H142" s="43"/>
      <c r="I142" s="32" t="str">
        <f t="shared" si="16"/>
        <v/>
      </c>
      <c r="J142" s="33"/>
      <c r="K142" s="33"/>
      <c r="L142" s="34"/>
      <c r="M142" s="34"/>
      <c r="N142" s="36"/>
      <c r="O142" s="36"/>
      <c r="P142" s="36"/>
      <c r="Q142" s="36"/>
      <c r="R142" s="38"/>
      <c r="S142" s="38"/>
      <c r="T142" s="53"/>
      <c r="U142" s="53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8"/>
      <c r="CZ142" s="38"/>
      <c r="DA142" s="13"/>
      <c r="DB142" s="13"/>
      <c r="DC142" s="13"/>
      <c r="DD142" s="13"/>
      <c r="DE142" s="13"/>
      <c r="DF142" s="13"/>
      <c r="DG142" s="13"/>
      <c r="DH142" s="13"/>
      <c r="DI142" s="13"/>
    </row>
    <row r="143" spans="2:113" ht="18" customHeight="1" x14ac:dyDescent="0.4">
      <c r="B143" s="27">
        <f t="shared" si="17"/>
        <v>132</v>
      </c>
      <c r="C143" s="28"/>
      <c r="D143" s="29"/>
      <c r="E143" s="29"/>
      <c r="F143" s="30"/>
      <c r="G143" s="31"/>
      <c r="H143" s="39"/>
      <c r="I143" s="32" t="str">
        <f t="shared" si="16"/>
        <v/>
      </c>
      <c r="J143" s="33"/>
      <c r="K143" s="33"/>
      <c r="L143" s="34"/>
      <c r="M143" s="34"/>
      <c r="N143" s="44"/>
      <c r="O143" s="36"/>
      <c r="P143" s="36"/>
      <c r="Q143" s="36"/>
      <c r="R143" s="38"/>
      <c r="S143" s="38"/>
      <c r="T143" s="38"/>
      <c r="U143" s="38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8"/>
      <c r="CZ143" s="38"/>
      <c r="DA143" s="13"/>
      <c r="DB143" s="13"/>
      <c r="DC143" s="13"/>
      <c r="DD143" s="13"/>
      <c r="DE143" s="13"/>
      <c r="DF143" s="13"/>
      <c r="DG143" s="13"/>
      <c r="DH143" s="13"/>
      <c r="DI143" s="13"/>
    </row>
    <row r="144" spans="2:113" ht="18" customHeight="1" x14ac:dyDescent="0.4">
      <c r="B144" s="27">
        <f t="shared" si="17"/>
        <v>133</v>
      </c>
      <c r="C144" s="28"/>
      <c r="D144" s="29"/>
      <c r="E144" s="29"/>
      <c r="F144" s="30"/>
      <c r="G144" s="31"/>
      <c r="H144" s="43"/>
      <c r="I144" s="32" t="str">
        <f t="shared" si="16"/>
        <v/>
      </c>
      <c r="J144" s="33"/>
      <c r="K144" s="33"/>
      <c r="L144" s="34"/>
      <c r="M144" s="34"/>
      <c r="N144" s="54"/>
      <c r="O144" s="54"/>
      <c r="P144" s="54"/>
      <c r="Q144" s="54"/>
      <c r="R144" s="38"/>
      <c r="S144" s="38"/>
      <c r="T144" s="38"/>
      <c r="U144" s="38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8"/>
      <c r="CZ144" s="38"/>
      <c r="DA144" s="13"/>
      <c r="DB144" s="13"/>
      <c r="DC144" s="13"/>
      <c r="DD144" s="13"/>
      <c r="DE144" s="13"/>
      <c r="DF144" s="13"/>
      <c r="DG144" s="13"/>
      <c r="DH144" s="13"/>
      <c r="DI144" s="13"/>
    </row>
    <row r="145" spans="2:113" ht="18" customHeight="1" x14ac:dyDescent="0.4">
      <c r="B145" s="27">
        <f t="shared" si="17"/>
        <v>134</v>
      </c>
      <c r="C145" s="28"/>
      <c r="D145" s="29"/>
      <c r="E145" s="29"/>
      <c r="F145" s="30"/>
      <c r="G145" s="31"/>
      <c r="H145" s="43"/>
      <c r="I145" s="32" t="str">
        <f t="shared" si="16"/>
        <v/>
      </c>
      <c r="J145" s="33"/>
      <c r="K145" s="33"/>
      <c r="L145" s="34"/>
      <c r="M145" s="34"/>
      <c r="N145" s="54"/>
      <c r="O145" s="54"/>
      <c r="P145" s="54"/>
      <c r="Q145" s="54"/>
      <c r="R145" s="38"/>
      <c r="S145" s="38"/>
      <c r="T145" s="54"/>
      <c r="U145" s="54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8"/>
      <c r="CZ145" s="38"/>
      <c r="DA145" s="13"/>
      <c r="DB145" s="13"/>
      <c r="DC145" s="13"/>
      <c r="DD145" s="13"/>
      <c r="DE145" s="13"/>
      <c r="DF145" s="13"/>
      <c r="DG145" s="13"/>
      <c r="DH145" s="13"/>
      <c r="DI145" s="13"/>
    </row>
    <row r="146" spans="2:113" ht="18" customHeight="1" x14ac:dyDescent="0.4">
      <c r="B146" s="27">
        <f t="shared" si="17"/>
        <v>135</v>
      </c>
      <c r="C146" s="28"/>
      <c r="D146" s="29"/>
      <c r="E146" s="29"/>
      <c r="F146" s="30"/>
      <c r="G146" s="31"/>
      <c r="H146" s="39"/>
      <c r="I146" s="32" t="str">
        <f t="shared" si="16"/>
        <v/>
      </c>
      <c r="J146" s="33"/>
      <c r="K146" s="33"/>
      <c r="L146" s="40"/>
      <c r="M146" s="40"/>
      <c r="N146" s="44"/>
      <c r="O146" s="36"/>
      <c r="P146" s="36"/>
      <c r="Q146" s="36"/>
      <c r="R146" s="36"/>
      <c r="S146" s="36"/>
      <c r="T146" s="38"/>
      <c r="U146" s="38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8"/>
      <c r="CZ146" s="38"/>
      <c r="DA146" s="13"/>
      <c r="DB146" s="13"/>
      <c r="DC146" s="13"/>
      <c r="DD146" s="13"/>
      <c r="DE146" s="13"/>
      <c r="DF146" s="13"/>
      <c r="DG146" s="13"/>
      <c r="DH146" s="13"/>
      <c r="DI146" s="13"/>
    </row>
    <row r="147" spans="2:113" ht="18" customHeight="1" x14ac:dyDescent="0.4">
      <c r="B147" s="27">
        <f t="shared" si="17"/>
        <v>136</v>
      </c>
      <c r="C147" s="28"/>
      <c r="D147" s="29"/>
      <c r="E147" s="29"/>
      <c r="F147" s="30"/>
      <c r="G147" s="31"/>
      <c r="H147" s="39"/>
      <c r="I147" s="32" t="str">
        <f t="shared" si="16"/>
        <v/>
      </c>
      <c r="J147" s="33"/>
      <c r="K147" s="33"/>
      <c r="L147" s="40"/>
      <c r="M147" s="40"/>
      <c r="N147" s="36"/>
      <c r="O147" s="36"/>
      <c r="P147" s="36"/>
      <c r="Q147" s="36"/>
      <c r="R147" s="38"/>
      <c r="S147" s="38"/>
      <c r="T147" s="38"/>
      <c r="U147" s="38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50"/>
      <c r="BG147" s="50"/>
      <c r="BH147" s="36"/>
      <c r="BI147" s="36"/>
      <c r="BJ147" s="50"/>
      <c r="BK147" s="50"/>
      <c r="BL147" s="50"/>
      <c r="BM147" s="50"/>
      <c r="BN147" s="50"/>
      <c r="BO147" s="36"/>
      <c r="BP147" s="36"/>
      <c r="BQ147" s="39"/>
      <c r="BR147" s="39"/>
      <c r="BS147" s="39"/>
      <c r="BT147" s="39"/>
      <c r="BU147" s="39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8"/>
      <c r="CZ147" s="38"/>
      <c r="DA147" s="13"/>
      <c r="DB147" s="13"/>
      <c r="DC147" s="13"/>
      <c r="DD147" s="13"/>
      <c r="DE147" s="13"/>
      <c r="DF147" s="13"/>
      <c r="DG147" s="13"/>
      <c r="DH147" s="13"/>
      <c r="DI147" s="13"/>
    </row>
    <row r="148" spans="2:113" ht="18" customHeight="1" x14ac:dyDescent="0.4">
      <c r="B148" s="27">
        <f t="shared" si="17"/>
        <v>137</v>
      </c>
      <c r="C148" s="28"/>
      <c r="D148" s="29"/>
      <c r="E148" s="29"/>
      <c r="F148" s="30"/>
      <c r="G148" s="31"/>
      <c r="H148" s="39"/>
      <c r="I148" s="32" t="str">
        <f t="shared" si="16"/>
        <v/>
      </c>
      <c r="J148" s="33"/>
      <c r="K148" s="33"/>
      <c r="L148" s="40"/>
      <c r="M148" s="40"/>
      <c r="N148" s="36"/>
      <c r="O148" s="41"/>
      <c r="P148" s="41"/>
      <c r="Q148" s="41"/>
      <c r="R148" s="38"/>
      <c r="S148" s="38"/>
      <c r="T148" s="38"/>
      <c r="U148" s="38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8"/>
      <c r="CZ148" s="38"/>
      <c r="DA148" s="13"/>
      <c r="DB148" s="13"/>
      <c r="DC148" s="13"/>
      <c r="DD148" s="13"/>
      <c r="DE148" s="13"/>
      <c r="DF148" s="13"/>
      <c r="DG148" s="13"/>
      <c r="DH148" s="13"/>
      <c r="DI148" s="13"/>
    </row>
    <row r="149" spans="2:113" ht="18" customHeight="1" x14ac:dyDescent="0.4">
      <c r="B149" s="27">
        <f t="shared" si="17"/>
        <v>138</v>
      </c>
      <c r="C149" s="28"/>
      <c r="D149" s="29"/>
      <c r="E149" s="29"/>
      <c r="F149" s="30"/>
      <c r="G149" s="31"/>
      <c r="H149" s="39"/>
      <c r="I149" s="32" t="str">
        <f t="shared" si="16"/>
        <v/>
      </c>
      <c r="J149" s="33"/>
      <c r="K149" s="33"/>
      <c r="L149" s="34"/>
      <c r="M149" s="34"/>
      <c r="N149" s="36"/>
      <c r="O149" s="36"/>
      <c r="P149" s="36"/>
      <c r="Q149" s="36"/>
      <c r="R149" s="38"/>
      <c r="S149" s="38"/>
      <c r="T149" s="52"/>
      <c r="U149" s="52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8"/>
      <c r="CZ149" s="38"/>
      <c r="DA149" s="13"/>
      <c r="DB149" s="13"/>
      <c r="DC149" s="13"/>
      <c r="DD149" s="13"/>
      <c r="DE149" s="13"/>
      <c r="DF149" s="13"/>
      <c r="DG149" s="13"/>
      <c r="DH149" s="13"/>
      <c r="DI149" s="13"/>
    </row>
    <row r="150" spans="2:113" ht="18" customHeight="1" x14ac:dyDescent="0.4">
      <c r="B150" s="27">
        <f t="shared" si="17"/>
        <v>139</v>
      </c>
      <c r="C150" s="28"/>
      <c r="D150" s="29"/>
      <c r="E150" s="29"/>
      <c r="F150" s="30"/>
      <c r="G150" s="31"/>
      <c r="H150" s="39"/>
      <c r="I150" s="32" t="str">
        <f t="shared" si="16"/>
        <v/>
      </c>
      <c r="J150" s="33"/>
      <c r="K150" s="33"/>
      <c r="L150" s="40"/>
      <c r="M150" s="40"/>
      <c r="N150" s="36"/>
      <c r="O150" s="36"/>
      <c r="P150" s="36"/>
      <c r="Q150" s="36"/>
      <c r="R150" s="38"/>
      <c r="S150" s="38"/>
      <c r="T150" s="52"/>
      <c r="U150" s="52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8"/>
      <c r="CZ150" s="38"/>
      <c r="DA150" s="13"/>
      <c r="DB150" s="13"/>
      <c r="DC150" s="13"/>
      <c r="DD150" s="13"/>
      <c r="DE150" s="13"/>
      <c r="DF150" s="13"/>
      <c r="DG150" s="13"/>
      <c r="DH150" s="13"/>
      <c r="DI150" s="13"/>
    </row>
    <row r="151" spans="2:113" ht="18" customHeight="1" x14ac:dyDescent="0.4">
      <c r="B151" s="27">
        <f t="shared" si="17"/>
        <v>140</v>
      </c>
      <c r="C151" s="28"/>
      <c r="D151" s="29"/>
      <c r="E151" s="29"/>
      <c r="F151" s="30"/>
      <c r="G151" s="31"/>
      <c r="H151" s="39"/>
      <c r="I151" s="32" t="str">
        <f t="shared" si="16"/>
        <v/>
      </c>
      <c r="J151" s="33"/>
      <c r="K151" s="33"/>
      <c r="L151" s="34"/>
      <c r="M151" s="34"/>
      <c r="N151" s="48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 s="49"/>
      <c r="BI151" s="49"/>
      <c r="BJ151" s="49"/>
      <c r="BK151" s="49"/>
      <c r="BL151" s="49"/>
      <c r="BM151" s="49"/>
      <c r="BN151" s="49"/>
      <c r="BO151" s="49"/>
      <c r="BP151" s="49"/>
      <c r="BQ151" s="49"/>
      <c r="BR151" s="49"/>
      <c r="BS151" s="49"/>
      <c r="BT151" s="49"/>
      <c r="BU151" s="49"/>
      <c r="BV151" s="49"/>
      <c r="BW151" s="49"/>
      <c r="BX151" s="49"/>
      <c r="BY151" s="49"/>
      <c r="BZ151" s="49"/>
      <c r="CA151" s="49"/>
      <c r="CB151" s="49"/>
      <c r="CC151" s="49"/>
      <c r="CD151" s="49"/>
      <c r="CE151" s="49"/>
      <c r="CF151" s="49"/>
      <c r="CG151" s="49"/>
      <c r="CH151" s="49"/>
      <c r="CI151" s="49"/>
      <c r="CJ151" s="49"/>
      <c r="CK151" s="49"/>
      <c r="CL151" s="49"/>
      <c r="CM151" s="49"/>
      <c r="CN151" s="49"/>
      <c r="CO151" s="49"/>
      <c r="CP151" s="49"/>
      <c r="CQ151" s="49"/>
      <c r="CR151" s="49"/>
      <c r="CS151" s="49"/>
      <c r="CT151" s="49"/>
      <c r="CU151" s="49"/>
      <c r="CV151" s="49"/>
      <c r="CW151" s="49"/>
      <c r="CX151" s="49"/>
      <c r="CY151" s="49"/>
      <c r="CZ151" s="49"/>
    </row>
    <row r="152" spans="2:113" ht="18" customHeight="1" x14ac:dyDescent="0.4">
      <c r="B152" s="27">
        <f t="shared" si="17"/>
        <v>141</v>
      </c>
      <c r="C152" s="28"/>
      <c r="D152" s="29"/>
      <c r="E152" s="29"/>
      <c r="F152" s="30"/>
      <c r="G152" s="31"/>
      <c r="H152" s="45"/>
      <c r="I152" s="32" t="str">
        <f t="shared" si="16"/>
        <v/>
      </c>
      <c r="J152" s="33"/>
      <c r="K152" s="33"/>
      <c r="L152" s="46"/>
      <c r="M152" s="46"/>
      <c r="N152" s="48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 s="49"/>
      <c r="BI152" s="49"/>
      <c r="BJ152" s="49"/>
      <c r="BK152" s="49"/>
      <c r="BL152" s="49"/>
      <c r="BM152" s="49"/>
      <c r="BN152" s="49"/>
      <c r="BO152" s="49"/>
      <c r="BP152" s="49"/>
      <c r="BQ152" s="49"/>
      <c r="BR152" s="49"/>
      <c r="BS152" s="49"/>
      <c r="BT152" s="49"/>
      <c r="BU152" s="49"/>
      <c r="BV152" s="49"/>
      <c r="BW152" s="49"/>
      <c r="BX152" s="49"/>
      <c r="BY152" s="49"/>
      <c r="BZ152" s="49"/>
      <c r="CA152" s="49"/>
      <c r="CB152" s="49"/>
      <c r="CC152" s="49"/>
      <c r="CD152" s="49"/>
      <c r="CE152" s="49"/>
      <c r="CF152" s="49"/>
      <c r="CG152" s="49"/>
      <c r="CH152" s="49"/>
      <c r="CI152" s="49"/>
      <c r="CJ152" s="49"/>
      <c r="CK152" s="49"/>
      <c r="CL152" s="49"/>
      <c r="CM152" s="49"/>
      <c r="CN152" s="49"/>
      <c r="CO152" s="49"/>
      <c r="CP152" s="49"/>
      <c r="CQ152" s="49"/>
      <c r="CR152" s="49"/>
      <c r="CS152" s="49"/>
      <c r="CT152" s="49"/>
      <c r="CU152" s="49"/>
      <c r="CV152" s="49"/>
      <c r="CW152" s="49"/>
      <c r="CX152" s="49"/>
      <c r="CY152" s="49"/>
      <c r="CZ152" s="49"/>
    </row>
    <row r="153" spans="2:113" ht="18" customHeight="1" x14ac:dyDescent="0.4">
      <c r="B153" s="27">
        <f t="shared" si="17"/>
        <v>142</v>
      </c>
      <c r="C153" s="28"/>
      <c r="D153" s="29"/>
      <c r="E153" s="29"/>
      <c r="F153" s="30"/>
      <c r="G153" s="31"/>
      <c r="H153" s="39"/>
      <c r="I153" s="32" t="str">
        <f t="shared" si="16"/>
        <v/>
      </c>
      <c r="J153" s="33"/>
      <c r="K153" s="33"/>
      <c r="L153" s="40"/>
      <c r="M153" s="40"/>
      <c r="N153" s="44"/>
      <c r="O153" s="36"/>
      <c r="P153" s="36"/>
      <c r="Q153" s="36"/>
      <c r="R153" s="36"/>
      <c r="S153" s="36"/>
      <c r="T153" s="38"/>
      <c r="U153" s="38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8"/>
      <c r="CZ153" s="38"/>
      <c r="DA153" s="13"/>
      <c r="DB153" s="13"/>
      <c r="DC153" s="13"/>
      <c r="DD153" s="13"/>
      <c r="DE153" s="13"/>
      <c r="DF153" s="13"/>
      <c r="DG153" s="13"/>
      <c r="DH153" s="13"/>
      <c r="DI153" s="13"/>
    </row>
    <row r="154" spans="2:113" ht="18" customHeight="1" x14ac:dyDescent="0.4">
      <c r="B154" s="27">
        <f t="shared" si="17"/>
        <v>143</v>
      </c>
      <c r="C154" s="28"/>
      <c r="D154" s="28"/>
      <c r="E154" s="29"/>
      <c r="F154" s="30"/>
      <c r="G154" s="31"/>
      <c r="H154" s="39"/>
      <c r="I154" s="32" t="str">
        <f t="shared" si="16"/>
        <v/>
      </c>
      <c r="J154" s="33"/>
      <c r="K154" s="33"/>
      <c r="L154" s="40"/>
      <c r="M154" s="40"/>
      <c r="N154" s="48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 s="49"/>
      <c r="BI154" s="49"/>
      <c r="BJ154" s="49"/>
      <c r="BK154" s="49"/>
      <c r="BL154" s="49"/>
      <c r="BM154" s="49"/>
      <c r="BN154" s="49"/>
      <c r="BO154" s="49"/>
      <c r="BP154" s="49"/>
      <c r="BQ154" s="49"/>
      <c r="BR154" s="49"/>
      <c r="BS154" s="49"/>
      <c r="BT154" s="49"/>
      <c r="BU154" s="49"/>
      <c r="BV154" s="49"/>
      <c r="BW154" s="49"/>
      <c r="BX154" s="49"/>
      <c r="BY154" s="49"/>
      <c r="BZ154" s="49"/>
      <c r="CA154" s="49"/>
      <c r="CB154" s="49"/>
      <c r="CC154" s="49"/>
      <c r="CD154" s="49"/>
      <c r="CE154" s="49"/>
      <c r="CF154" s="49"/>
      <c r="CG154" s="49"/>
      <c r="CH154" s="49"/>
      <c r="CI154" s="49"/>
      <c r="CJ154" s="49"/>
      <c r="CK154" s="49"/>
      <c r="CL154" s="49"/>
      <c r="CM154" s="49"/>
      <c r="CN154" s="49"/>
      <c r="CO154" s="49"/>
      <c r="CP154" s="49"/>
      <c r="CQ154" s="49"/>
      <c r="CR154" s="49"/>
      <c r="CS154" s="49"/>
      <c r="CT154" s="49"/>
      <c r="CU154" s="49"/>
      <c r="CV154" s="49"/>
      <c r="CW154" s="49"/>
      <c r="CX154" s="49"/>
      <c r="CY154" s="49"/>
      <c r="CZ154" s="49"/>
    </row>
    <row r="155" spans="2:113" ht="18" customHeight="1" x14ac:dyDescent="0.4">
      <c r="B155" s="27">
        <f t="shared" si="17"/>
        <v>144</v>
      </c>
      <c r="C155" s="28"/>
      <c r="D155" s="28"/>
      <c r="E155" s="29"/>
      <c r="F155" s="30"/>
      <c r="G155" s="31"/>
      <c r="H155" s="39"/>
      <c r="I155" s="32" t="str">
        <f t="shared" si="16"/>
        <v/>
      </c>
      <c r="J155" s="33"/>
      <c r="K155" s="33"/>
      <c r="L155" s="34"/>
      <c r="M155" s="34"/>
      <c r="N155" s="48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/>
      <c r="AY155" s="49"/>
      <c r="AZ155" s="49"/>
      <c r="BA155" s="49"/>
      <c r="BB155" s="49"/>
      <c r="BC155" s="49"/>
      <c r="BD155" s="49"/>
      <c r="BE155" s="49"/>
      <c r="BF155" s="49"/>
      <c r="BG155" s="49"/>
      <c r="BH155" s="49"/>
      <c r="BI155" s="49"/>
      <c r="BJ155" s="49"/>
      <c r="BK155" s="49"/>
      <c r="BL155" s="49"/>
      <c r="BM155" s="49"/>
      <c r="BN155" s="49"/>
      <c r="BO155" s="49"/>
      <c r="BP155" s="49"/>
      <c r="BQ155" s="49"/>
      <c r="BR155" s="49"/>
      <c r="BS155" s="49"/>
      <c r="BT155" s="49"/>
      <c r="BU155" s="49"/>
      <c r="BV155" s="49"/>
      <c r="BW155" s="49"/>
      <c r="BX155" s="49"/>
      <c r="BY155" s="49"/>
      <c r="BZ155" s="49"/>
      <c r="CA155" s="49"/>
      <c r="CB155" s="49"/>
      <c r="CC155" s="49"/>
      <c r="CD155" s="49"/>
      <c r="CE155" s="49"/>
      <c r="CF155" s="49"/>
      <c r="CG155" s="49"/>
      <c r="CH155" s="49"/>
      <c r="CI155" s="49"/>
      <c r="CJ155" s="49"/>
      <c r="CK155" s="49"/>
      <c r="CL155" s="49"/>
      <c r="CM155" s="49"/>
      <c r="CN155" s="49"/>
      <c r="CO155" s="49"/>
      <c r="CP155" s="49"/>
      <c r="CQ155" s="49"/>
      <c r="CR155" s="49"/>
      <c r="CS155" s="49"/>
      <c r="CT155" s="49"/>
      <c r="CU155" s="49"/>
      <c r="CV155" s="49"/>
      <c r="CW155" s="49"/>
      <c r="CX155" s="49"/>
      <c r="CY155" s="49"/>
      <c r="CZ155" s="49"/>
    </row>
    <row r="156" spans="2:113" ht="18" customHeight="1" x14ac:dyDescent="0.4">
      <c r="B156" s="27">
        <f t="shared" si="17"/>
        <v>145</v>
      </c>
      <c r="C156" s="28"/>
      <c r="D156" s="28"/>
      <c r="E156" s="29"/>
      <c r="F156" s="30"/>
      <c r="G156" s="31"/>
      <c r="H156" s="45"/>
      <c r="I156" s="32" t="str">
        <f t="shared" si="16"/>
        <v/>
      </c>
      <c r="J156" s="33"/>
      <c r="K156" s="33"/>
      <c r="L156" s="46"/>
      <c r="M156" s="46"/>
      <c r="N156" s="48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49"/>
      <c r="AY156" s="49"/>
      <c r="AZ156" s="49"/>
      <c r="BA156" s="49"/>
      <c r="BB156" s="49"/>
      <c r="BC156" s="49"/>
      <c r="BD156" s="49"/>
      <c r="BE156" s="49"/>
      <c r="BF156" s="49"/>
      <c r="BG156" s="49"/>
      <c r="BH156" s="49"/>
      <c r="BI156" s="49"/>
      <c r="BJ156" s="49"/>
      <c r="BK156" s="49"/>
      <c r="BL156" s="49"/>
      <c r="BM156" s="49"/>
      <c r="BN156" s="49"/>
      <c r="BO156" s="49"/>
      <c r="BP156" s="49"/>
      <c r="BQ156" s="49"/>
      <c r="BR156" s="49"/>
      <c r="BS156" s="49"/>
      <c r="BT156" s="49"/>
      <c r="BU156" s="49"/>
      <c r="BV156" s="49"/>
      <c r="BW156" s="49"/>
      <c r="BX156" s="49"/>
      <c r="BY156" s="49"/>
      <c r="BZ156" s="49"/>
      <c r="CA156" s="49"/>
      <c r="CB156" s="49"/>
      <c r="CC156" s="49"/>
      <c r="CD156" s="49"/>
      <c r="CE156" s="49"/>
      <c r="CF156" s="49"/>
      <c r="CG156" s="49"/>
      <c r="CH156" s="49"/>
      <c r="CI156" s="49"/>
      <c r="CJ156" s="49"/>
      <c r="CK156" s="49"/>
      <c r="CL156" s="49"/>
      <c r="CM156" s="49"/>
      <c r="CN156" s="49"/>
      <c r="CO156" s="49"/>
      <c r="CP156" s="49"/>
      <c r="CQ156" s="49"/>
      <c r="CR156" s="49"/>
      <c r="CS156" s="49"/>
      <c r="CT156" s="49"/>
      <c r="CU156" s="49"/>
      <c r="CV156" s="49"/>
      <c r="CW156" s="49"/>
      <c r="CX156" s="49"/>
      <c r="CY156" s="49"/>
      <c r="CZ156" s="49"/>
    </row>
    <row r="157" spans="2:113" ht="18" customHeight="1" x14ac:dyDescent="0.4">
      <c r="B157" s="27">
        <f t="shared" si="17"/>
        <v>146</v>
      </c>
      <c r="C157" s="28"/>
      <c r="D157" s="28"/>
      <c r="E157" s="29"/>
      <c r="F157" s="30"/>
      <c r="G157" s="31"/>
      <c r="H157" s="45"/>
      <c r="I157" s="32" t="str">
        <f t="shared" si="16"/>
        <v/>
      </c>
      <c r="J157" s="33"/>
      <c r="K157" s="33"/>
      <c r="L157" s="46"/>
      <c r="M157" s="46"/>
      <c r="N157" s="36"/>
      <c r="O157" s="36"/>
      <c r="P157" s="36"/>
      <c r="Q157" s="36"/>
      <c r="R157" s="38"/>
      <c r="S157" s="38"/>
      <c r="T157" s="38"/>
      <c r="U157" s="38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8"/>
      <c r="CZ157" s="38"/>
      <c r="DA157" s="13"/>
      <c r="DB157" s="13"/>
      <c r="DC157" s="13"/>
      <c r="DD157" s="13"/>
      <c r="DE157" s="13"/>
      <c r="DF157" s="13"/>
      <c r="DG157" s="13"/>
      <c r="DH157" s="13"/>
      <c r="DI157" s="13"/>
    </row>
    <row r="158" spans="2:113" ht="18" customHeight="1" x14ac:dyDescent="0.4">
      <c r="B158" s="27">
        <f t="shared" si="17"/>
        <v>147</v>
      </c>
      <c r="C158" s="28"/>
      <c r="D158" s="29"/>
      <c r="E158" s="29"/>
      <c r="F158" s="30"/>
      <c r="G158" s="31"/>
      <c r="H158" s="45"/>
      <c r="I158" s="32" t="str">
        <f t="shared" si="16"/>
        <v/>
      </c>
      <c r="J158" s="33"/>
      <c r="K158" s="33"/>
      <c r="L158" s="46"/>
      <c r="M158" s="46"/>
      <c r="N158" s="36"/>
      <c r="O158" s="36"/>
      <c r="P158" s="36"/>
      <c r="Q158" s="36"/>
      <c r="R158" s="38"/>
      <c r="S158" s="38"/>
      <c r="T158" s="38"/>
      <c r="U158" s="38"/>
      <c r="V158" s="55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0"/>
      <c r="BG158" s="50"/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8"/>
      <c r="CZ158" s="38"/>
      <c r="DA158" s="13"/>
      <c r="DB158" s="13"/>
      <c r="DC158" s="13"/>
      <c r="DD158" s="13"/>
      <c r="DE158" s="13"/>
      <c r="DF158" s="13"/>
      <c r="DG158" s="13"/>
      <c r="DH158" s="13"/>
      <c r="DI158" s="13"/>
    </row>
    <row r="159" spans="2:113" ht="18" customHeight="1" x14ac:dyDescent="0.4">
      <c r="B159" s="27">
        <f t="shared" si="17"/>
        <v>148</v>
      </c>
      <c r="C159" s="28"/>
      <c r="D159" s="29"/>
      <c r="E159" s="29"/>
      <c r="F159" s="30"/>
      <c r="G159" s="31"/>
      <c r="H159" s="45"/>
      <c r="I159" s="32" t="str">
        <f t="shared" si="16"/>
        <v/>
      </c>
      <c r="J159" s="33"/>
      <c r="K159" s="33"/>
      <c r="L159" s="46"/>
      <c r="M159" s="46"/>
      <c r="N159" s="36"/>
      <c r="O159" s="36"/>
      <c r="P159" s="36"/>
      <c r="Q159" s="36"/>
      <c r="R159" s="38"/>
      <c r="S159" s="38"/>
      <c r="T159" s="52"/>
      <c r="U159" s="52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8"/>
      <c r="CZ159" s="38"/>
      <c r="DA159" s="13"/>
      <c r="DB159" s="13"/>
      <c r="DC159" s="13"/>
      <c r="DD159" s="13"/>
      <c r="DE159" s="13"/>
      <c r="DF159" s="13"/>
      <c r="DG159" s="13"/>
      <c r="DH159" s="13"/>
      <c r="DI159" s="13"/>
    </row>
    <row r="160" spans="2:113" ht="18" customHeight="1" x14ac:dyDescent="0.4">
      <c r="B160" s="27">
        <f t="shared" si="17"/>
        <v>149</v>
      </c>
      <c r="C160" s="28"/>
      <c r="D160" s="29"/>
      <c r="E160" s="29"/>
      <c r="F160" s="30"/>
      <c r="G160" s="31"/>
      <c r="H160" s="43"/>
      <c r="I160" s="32" t="str">
        <f t="shared" si="16"/>
        <v/>
      </c>
      <c r="J160" s="33"/>
      <c r="K160" s="33"/>
      <c r="L160" s="57"/>
      <c r="M160" s="57"/>
      <c r="N160" s="47"/>
      <c r="O160" s="36"/>
      <c r="P160" s="36"/>
      <c r="Q160" s="36"/>
      <c r="R160" s="38"/>
      <c r="S160" s="38"/>
      <c r="T160" s="38"/>
      <c r="U160" s="38"/>
      <c r="V160" s="38"/>
      <c r="W160" s="38"/>
      <c r="X160" s="38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J160" s="36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8"/>
      <c r="CZ160" s="38"/>
      <c r="DA160" s="13"/>
      <c r="DB160" s="13"/>
      <c r="DC160" s="13"/>
      <c r="DD160" s="13"/>
      <c r="DE160" s="13"/>
      <c r="DF160" s="13"/>
      <c r="DG160" s="13"/>
      <c r="DH160" s="13"/>
      <c r="DI160" s="13"/>
    </row>
    <row r="161" spans="2:113" ht="18" customHeight="1" x14ac:dyDescent="0.4">
      <c r="B161" s="27">
        <f t="shared" si="17"/>
        <v>150</v>
      </c>
      <c r="C161" s="28"/>
      <c r="D161" s="29"/>
      <c r="E161" s="29"/>
      <c r="F161" s="30"/>
      <c r="G161" s="31"/>
      <c r="H161" s="45"/>
      <c r="I161" s="32" t="str">
        <f t="shared" si="16"/>
        <v/>
      </c>
      <c r="J161" s="33"/>
      <c r="K161" s="33"/>
      <c r="L161" s="46"/>
      <c r="M161" s="46"/>
      <c r="N161" s="48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  <c r="AT161" s="49"/>
      <c r="AU161" s="49"/>
      <c r="AV161" s="49"/>
      <c r="AW161" s="49"/>
      <c r="AX161" s="49"/>
      <c r="AY161" s="49"/>
      <c r="AZ161" s="49"/>
      <c r="BA161" s="49"/>
      <c r="BB161" s="49"/>
      <c r="BC161" s="49"/>
      <c r="BD161" s="49"/>
      <c r="BE161" s="49"/>
      <c r="BF161" s="49"/>
      <c r="BG161" s="49"/>
      <c r="BH161" s="49"/>
      <c r="BI161" s="49"/>
      <c r="BJ161" s="49"/>
      <c r="BK161" s="49"/>
      <c r="BL161" s="49"/>
      <c r="BM161" s="49"/>
      <c r="BN161" s="49"/>
      <c r="BO161" s="49"/>
      <c r="BP161" s="49"/>
      <c r="BQ161" s="49"/>
      <c r="BR161" s="49"/>
      <c r="BS161" s="49"/>
      <c r="BT161" s="49"/>
      <c r="BU161" s="49"/>
      <c r="BV161" s="49"/>
      <c r="BW161" s="49"/>
      <c r="BX161" s="49"/>
      <c r="BY161" s="49"/>
      <c r="BZ161" s="49"/>
      <c r="CA161" s="49"/>
      <c r="CB161" s="49"/>
      <c r="CC161" s="49"/>
      <c r="CD161" s="49"/>
      <c r="CE161" s="49"/>
      <c r="CF161" s="49"/>
      <c r="CG161" s="49"/>
      <c r="CH161" s="49"/>
      <c r="CI161" s="49"/>
      <c r="CJ161" s="49"/>
      <c r="CK161" s="49"/>
      <c r="CL161" s="49"/>
      <c r="CM161" s="49"/>
      <c r="CN161" s="49"/>
      <c r="CO161" s="49"/>
      <c r="CP161" s="49"/>
      <c r="CQ161" s="49"/>
      <c r="CR161" s="49"/>
      <c r="CS161" s="49"/>
      <c r="CT161" s="49"/>
      <c r="CU161" s="49"/>
      <c r="CV161" s="49"/>
      <c r="CW161" s="49"/>
      <c r="CX161" s="49"/>
      <c r="CY161" s="49"/>
      <c r="CZ161" s="49"/>
    </row>
    <row r="162" spans="2:113" ht="18" customHeight="1" x14ac:dyDescent="0.4">
      <c r="B162" s="27">
        <f>ROW()-11</f>
        <v>151</v>
      </c>
      <c r="C162" s="28"/>
      <c r="D162" s="28"/>
      <c r="E162" s="29"/>
      <c r="F162" s="30"/>
      <c r="G162" s="31"/>
      <c r="H162" s="31"/>
      <c r="I162" s="32" t="str">
        <f t="shared" si="16"/>
        <v/>
      </c>
      <c r="J162" s="33"/>
      <c r="K162" s="33"/>
      <c r="L162" s="34"/>
      <c r="M162" s="34"/>
      <c r="N162" s="35"/>
      <c r="O162" s="35"/>
      <c r="P162" s="35"/>
      <c r="Q162" s="35"/>
      <c r="R162" s="36"/>
      <c r="S162" s="36"/>
      <c r="T162" s="36"/>
      <c r="U162" s="36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8"/>
      <c r="CZ162" s="38"/>
      <c r="DA162" s="13"/>
      <c r="DB162" s="13"/>
      <c r="DC162" s="13"/>
      <c r="DD162" s="13"/>
      <c r="DE162" s="13"/>
      <c r="DF162" s="13"/>
      <c r="DG162" s="13"/>
      <c r="DH162" s="13"/>
      <c r="DI162" s="13"/>
    </row>
    <row r="163" spans="2:113" ht="18" customHeight="1" x14ac:dyDescent="0.4">
      <c r="B163" s="27">
        <f t="shared" ref="B163:B211" si="18">ROW()-11</f>
        <v>152</v>
      </c>
      <c r="C163" s="28"/>
      <c r="D163" s="28"/>
      <c r="E163" s="29"/>
      <c r="F163" s="30"/>
      <c r="G163" s="31"/>
      <c r="H163" s="39"/>
      <c r="I163" s="32" t="str">
        <f t="shared" si="16"/>
        <v/>
      </c>
      <c r="J163" s="33"/>
      <c r="K163" s="33"/>
      <c r="L163" s="40"/>
      <c r="M163" s="40"/>
      <c r="N163" s="36"/>
      <c r="O163" s="41"/>
      <c r="P163" s="41"/>
      <c r="Q163" s="41"/>
      <c r="R163" s="38"/>
      <c r="S163" s="38"/>
      <c r="T163" s="38"/>
      <c r="U163" s="38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8"/>
      <c r="CZ163" s="38"/>
      <c r="DA163" s="13"/>
      <c r="DB163" s="13"/>
      <c r="DC163" s="13"/>
      <c r="DD163" s="13"/>
      <c r="DE163" s="13"/>
      <c r="DF163" s="13"/>
      <c r="DG163" s="13"/>
      <c r="DH163" s="13"/>
      <c r="DI163" s="13"/>
    </row>
    <row r="164" spans="2:113" ht="18" customHeight="1" x14ac:dyDescent="0.4">
      <c r="B164" s="27">
        <f t="shared" si="18"/>
        <v>153</v>
      </c>
      <c r="C164" s="28"/>
      <c r="D164" s="28"/>
      <c r="E164" s="29"/>
      <c r="F164" s="30"/>
      <c r="G164" s="31"/>
      <c r="H164" s="43"/>
      <c r="I164" s="32" t="str">
        <f t="shared" si="16"/>
        <v/>
      </c>
      <c r="J164" s="33"/>
      <c r="K164" s="33"/>
      <c r="L164" s="40"/>
      <c r="M164" s="40"/>
      <c r="N164" s="44"/>
      <c r="O164" s="36"/>
      <c r="P164" s="36"/>
      <c r="Q164" s="36"/>
      <c r="R164" s="38"/>
      <c r="S164" s="38"/>
      <c r="T164" s="38"/>
      <c r="U164" s="38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8"/>
      <c r="CZ164" s="38"/>
      <c r="DA164" s="13"/>
      <c r="DB164" s="13"/>
      <c r="DC164" s="13"/>
      <c r="DD164" s="13"/>
      <c r="DE164" s="13"/>
      <c r="DF164" s="13"/>
      <c r="DG164" s="13"/>
      <c r="DH164" s="13"/>
      <c r="DI164" s="13"/>
    </row>
    <row r="165" spans="2:113" ht="18" customHeight="1" x14ac:dyDescent="0.4">
      <c r="B165" s="27">
        <f t="shared" si="18"/>
        <v>154</v>
      </c>
      <c r="C165" s="28"/>
      <c r="D165" s="29"/>
      <c r="E165" s="29"/>
      <c r="F165" s="30"/>
      <c r="G165" s="31"/>
      <c r="H165" s="45"/>
      <c r="I165" s="32" t="str">
        <f t="shared" si="16"/>
        <v/>
      </c>
      <c r="J165" s="33"/>
      <c r="K165" s="33"/>
      <c r="L165" s="46"/>
      <c r="M165" s="46"/>
      <c r="N165" s="44"/>
      <c r="O165" s="36"/>
      <c r="P165" s="36"/>
      <c r="Q165" s="36"/>
      <c r="R165" s="38"/>
      <c r="S165" s="38"/>
      <c r="T165" s="38"/>
      <c r="U165" s="38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8"/>
      <c r="CZ165" s="38"/>
      <c r="DA165" s="13"/>
      <c r="DB165" s="13"/>
      <c r="DC165" s="13"/>
      <c r="DD165" s="13"/>
      <c r="DE165" s="13"/>
      <c r="DF165" s="13"/>
      <c r="DG165" s="13"/>
      <c r="DH165" s="13"/>
      <c r="DI165" s="13"/>
    </row>
    <row r="166" spans="2:113" ht="18" customHeight="1" x14ac:dyDescent="0.4">
      <c r="B166" s="27">
        <f t="shared" si="18"/>
        <v>155</v>
      </c>
      <c r="C166" s="28"/>
      <c r="D166" s="28"/>
      <c r="E166" s="29"/>
      <c r="F166" s="30"/>
      <c r="G166" s="31"/>
      <c r="H166" s="39"/>
      <c r="I166" s="32" t="str">
        <f t="shared" si="16"/>
        <v/>
      </c>
      <c r="J166" s="33"/>
      <c r="K166" s="33"/>
      <c r="L166" s="34"/>
      <c r="M166" s="34"/>
      <c r="N166" s="47"/>
      <c r="O166" s="36"/>
      <c r="P166" s="36"/>
      <c r="Q166" s="36"/>
      <c r="R166" s="38"/>
      <c r="S166" s="38"/>
      <c r="T166" s="38"/>
      <c r="U166" s="38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8"/>
      <c r="CZ166" s="38"/>
      <c r="DA166" s="13"/>
      <c r="DB166" s="13"/>
      <c r="DC166" s="13"/>
      <c r="DD166" s="13"/>
      <c r="DE166" s="13"/>
      <c r="DF166" s="13"/>
      <c r="DG166" s="13"/>
      <c r="DH166" s="13"/>
      <c r="DI166" s="13"/>
    </row>
    <row r="167" spans="2:113" ht="18" customHeight="1" x14ac:dyDescent="0.4">
      <c r="B167" s="27">
        <f t="shared" si="18"/>
        <v>156</v>
      </c>
      <c r="C167" s="28"/>
      <c r="D167" s="28"/>
      <c r="E167" s="29"/>
      <c r="F167" s="30"/>
      <c r="G167" s="31"/>
      <c r="H167" s="43"/>
      <c r="I167" s="32" t="str">
        <f t="shared" si="16"/>
        <v/>
      </c>
      <c r="J167" s="33"/>
      <c r="K167" s="33"/>
      <c r="L167" s="40"/>
      <c r="M167" s="40"/>
      <c r="N167" s="48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  <c r="AT167" s="49"/>
      <c r="AU167" s="49"/>
      <c r="AV167" s="49"/>
      <c r="AW167" s="49"/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 s="49"/>
      <c r="BI167" s="49"/>
      <c r="BJ167" s="49"/>
      <c r="BK167" s="49"/>
      <c r="BL167" s="49"/>
      <c r="BM167" s="49"/>
      <c r="BN167" s="49"/>
      <c r="BO167" s="49"/>
      <c r="BP167" s="49"/>
      <c r="BQ167" s="49"/>
      <c r="BR167" s="49"/>
      <c r="BS167" s="49"/>
      <c r="BT167" s="49"/>
      <c r="BU167" s="49"/>
      <c r="BV167" s="49"/>
      <c r="BW167" s="49"/>
      <c r="BX167" s="49"/>
      <c r="BY167" s="49"/>
      <c r="BZ167" s="49"/>
      <c r="CA167" s="49"/>
      <c r="CB167" s="49"/>
      <c r="CC167" s="49"/>
      <c r="CD167" s="49"/>
      <c r="CE167" s="49"/>
      <c r="CF167" s="49"/>
      <c r="CG167" s="49"/>
      <c r="CH167" s="49"/>
      <c r="CI167" s="49"/>
      <c r="CJ167" s="49"/>
      <c r="CK167" s="49"/>
      <c r="CL167" s="49"/>
      <c r="CM167" s="49"/>
      <c r="CN167" s="49"/>
      <c r="CO167" s="49"/>
      <c r="CP167" s="49"/>
      <c r="CQ167" s="49"/>
      <c r="CR167" s="49"/>
      <c r="CS167" s="49"/>
      <c r="CT167" s="49"/>
      <c r="CU167" s="49"/>
      <c r="CV167" s="49"/>
      <c r="CW167" s="49"/>
      <c r="CX167" s="49"/>
      <c r="CY167" s="49"/>
      <c r="CZ167" s="49"/>
    </row>
    <row r="168" spans="2:113" ht="18" customHeight="1" x14ac:dyDescent="0.4">
      <c r="B168" s="27">
        <f t="shared" si="18"/>
        <v>157</v>
      </c>
      <c r="C168" s="28"/>
      <c r="D168" s="29"/>
      <c r="E168" s="29"/>
      <c r="F168" s="30"/>
      <c r="G168" s="31"/>
      <c r="H168" s="43"/>
      <c r="I168" s="32" t="str">
        <f t="shared" si="16"/>
        <v/>
      </c>
      <c r="J168" s="33"/>
      <c r="K168" s="33"/>
      <c r="L168" s="40"/>
      <c r="M168" s="40"/>
      <c r="N168" s="48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  <c r="AT168" s="49"/>
      <c r="AU168" s="49"/>
      <c r="AV168" s="49"/>
      <c r="AW168" s="49"/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 s="49"/>
      <c r="BI168" s="49"/>
      <c r="BJ168" s="49"/>
      <c r="BK168" s="49"/>
      <c r="BL168" s="49"/>
      <c r="BM168" s="49"/>
      <c r="BN168" s="49"/>
      <c r="BO168" s="49"/>
      <c r="BP168" s="49"/>
      <c r="BQ168" s="49"/>
      <c r="BR168" s="49"/>
      <c r="BS168" s="49"/>
      <c r="BT168" s="49"/>
      <c r="BU168" s="49"/>
      <c r="BV168" s="49"/>
      <c r="BW168" s="49"/>
      <c r="BX168" s="49"/>
      <c r="BY168" s="49"/>
      <c r="BZ168" s="49"/>
      <c r="CA168" s="49"/>
      <c r="CB168" s="49"/>
      <c r="CC168" s="49"/>
      <c r="CD168" s="49"/>
      <c r="CE168" s="49"/>
      <c r="CF168" s="49"/>
      <c r="CG168" s="49"/>
      <c r="CH168" s="49"/>
      <c r="CI168" s="49"/>
      <c r="CJ168" s="49"/>
      <c r="CK168" s="49"/>
      <c r="CL168" s="49"/>
      <c r="CM168" s="49"/>
      <c r="CN168" s="49"/>
      <c r="CO168" s="49"/>
      <c r="CP168" s="49"/>
      <c r="CQ168" s="49"/>
      <c r="CR168" s="49"/>
      <c r="CS168" s="49"/>
      <c r="CT168" s="49"/>
      <c r="CU168" s="49"/>
      <c r="CV168" s="49"/>
      <c r="CW168" s="49"/>
      <c r="CX168" s="49"/>
      <c r="CY168" s="49"/>
      <c r="CZ168" s="49"/>
    </row>
    <row r="169" spans="2:113" ht="18" customHeight="1" x14ac:dyDescent="0.4">
      <c r="B169" s="27">
        <f t="shared" si="18"/>
        <v>158</v>
      </c>
      <c r="C169" s="28"/>
      <c r="D169" s="29"/>
      <c r="E169" s="29"/>
      <c r="F169" s="30"/>
      <c r="G169" s="31"/>
      <c r="H169" s="39"/>
      <c r="I169" s="32" t="str">
        <f t="shared" si="16"/>
        <v/>
      </c>
      <c r="J169" s="33"/>
      <c r="K169" s="33"/>
      <c r="L169" s="40"/>
      <c r="M169" s="40"/>
      <c r="N169" s="36"/>
      <c r="O169" s="36"/>
      <c r="P169" s="36"/>
      <c r="Q169" s="36"/>
      <c r="R169" s="38"/>
      <c r="S169" s="38"/>
      <c r="T169" s="38"/>
      <c r="U169" s="38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8"/>
      <c r="CZ169" s="38"/>
      <c r="DA169" s="13"/>
      <c r="DB169" s="13"/>
      <c r="DC169" s="13"/>
      <c r="DD169" s="13"/>
      <c r="DE169" s="13"/>
      <c r="DF169" s="13"/>
      <c r="DG169" s="13"/>
      <c r="DH169" s="13"/>
      <c r="DI169" s="13"/>
    </row>
    <row r="170" spans="2:113" ht="18" customHeight="1" x14ac:dyDescent="0.4">
      <c r="B170" s="27">
        <f t="shared" si="18"/>
        <v>159</v>
      </c>
      <c r="C170" s="28"/>
      <c r="D170" s="29"/>
      <c r="E170" s="29"/>
      <c r="F170" s="30"/>
      <c r="G170" s="31"/>
      <c r="H170" s="43"/>
      <c r="I170" s="32" t="str">
        <f t="shared" si="16"/>
        <v/>
      </c>
      <c r="J170" s="33"/>
      <c r="K170" s="33"/>
      <c r="L170" s="40"/>
      <c r="M170" s="40"/>
      <c r="N170" s="44"/>
      <c r="O170" s="36"/>
      <c r="P170" s="36"/>
      <c r="Q170" s="36"/>
      <c r="R170" s="36"/>
      <c r="S170" s="36"/>
      <c r="T170" s="38"/>
      <c r="U170" s="38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8"/>
      <c r="CZ170" s="38"/>
      <c r="DA170" s="13"/>
      <c r="DB170" s="13"/>
      <c r="DC170" s="13"/>
      <c r="DD170" s="13"/>
      <c r="DE170" s="13"/>
      <c r="DF170" s="13"/>
      <c r="DG170" s="13"/>
      <c r="DH170" s="13"/>
      <c r="DI170" s="13"/>
    </row>
    <row r="171" spans="2:113" ht="18" customHeight="1" x14ac:dyDescent="0.4">
      <c r="B171" s="27">
        <f t="shared" si="18"/>
        <v>160</v>
      </c>
      <c r="C171" s="28"/>
      <c r="D171" s="28"/>
      <c r="E171" s="29"/>
      <c r="F171" s="30"/>
      <c r="G171" s="31"/>
      <c r="H171" s="39"/>
      <c r="I171" s="32" t="str">
        <f t="shared" si="16"/>
        <v/>
      </c>
      <c r="J171" s="33"/>
      <c r="K171" s="33"/>
      <c r="L171" s="40"/>
      <c r="M171" s="40"/>
      <c r="N171" s="41"/>
      <c r="O171" s="36"/>
      <c r="P171" s="36"/>
      <c r="Q171" s="41"/>
      <c r="R171" s="38"/>
      <c r="S171" s="38"/>
      <c r="T171" s="38"/>
      <c r="U171" s="38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8"/>
      <c r="CZ171" s="38"/>
      <c r="DA171" s="13"/>
      <c r="DB171" s="13"/>
      <c r="DC171" s="13"/>
      <c r="DD171" s="13"/>
      <c r="DE171" s="13"/>
      <c r="DF171" s="13"/>
      <c r="DG171" s="13"/>
      <c r="DH171" s="13"/>
      <c r="DI171" s="13"/>
    </row>
    <row r="172" spans="2:113" ht="18" customHeight="1" x14ac:dyDescent="0.4">
      <c r="B172" s="27">
        <f t="shared" si="18"/>
        <v>161</v>
      </c>
      <c r="C172" s="28"/>
      <c r="D172" s="28"/>
      <c r="E172" s="29"/>
      <c r="F172" s="30"/>
      <c r="G172" s="31"/>
      <c r="H172" s="39"/>
      <c r="I172" s="32" t="str">
        <f t="shared" si="16"/>
        <v/>
      </c>
      <c r="J172" s="33"/>
      <c r="K172" s="33"/>
      <c r="L172" s="40"/>
      <c r="M172" s="40"/>
      <c r="N172" s="36"/>
      <c r="O172" s="36"/>
      <c r="P172" s="36"/>
      <c r="Q172" s="36"/>
      <c r="R172" s="38"/>
      <c r="S172" s="38"/>
      <c r="T172" s="38"/>
      <c r="U172" s="38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6"/>
      <c r="BG172" s="36"/>
      <c r="BH172" s="36"/>
      <c r="BI172" s="36"/>
      <c r="BJ172" s="50"/>
      <c r="BK172" s="50"/>
      <c r="BL172" s="50"/>
      <c r="BM172" s="50"/>
      <c r="BN172" s="50"/>
      <c r="BO172" s="36"/>
      <c r="BP172" s="36"/>
      <c r="BQ172" s="39"/>
      <c r="BR172" s="39"/>
      <c r="BS172" s="39"/>
      <c r="BT172" s="39"/>
      <c r="BU172" s="39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8"/>
      <c r="CZ172" s="38"/>
      <c r="DA172" s="13"/>
      <c r="DB172" s="13"/>
      <c r="DC172" s="13"/>
      <c r="DD172" s="13"/>
      <c r="DE172" s="13"/>
      <c r="DF172" s="13"/>
      <c r="DG172" s="13"/>
      <c r="DH172" s="13"/>
      <c r="DI172" s="13"/>
    </row>
    <row r="173" spans="2:113" ht="18" customHeight="1" x14ac:dyDescent="0.4">
      <c r="B173" s="27">
        <f t="shared" si="18"/>
        <v>162</v>
      </c>
      <c r="C173" s="28"/>
      <c r="D173" s="28"/>
      <c r="E173" s="29"/>
      <c r="F173" s="30"/>
      <c r="G173" s="31"/>
      <c r="H173" s="43"/>
      <c r="I173" s="32" t="str">
        <f t="shared" si="16"/>
        <v/>
      </c>
      <c r="J173" s="33"/>
      <c r="K173" s="33"/>
      <c r="L173" s="40"/>
      <c r="M173" s="40"/>
      <c r="N173" s="47"/>
      <c r="O173" s="36"/>
      <c r="P173" s="36"/>
      <c r="Q173" s="36"/>
      <c r="R173" s="38"/>
      <c r="S173" s="38"/>
      <c r="T173" s="38"/>
      <c r="U173" s="38"/>
      <c r="V173" s="42"/>
      <c r="W173" s="42"/>
      <c r="X173" s="42"/>
      <c r="Y173" s="42"/>
      <c r="Z173" s="42"/>
      <c r="AA173" s="37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/>
      <c r="CT173" s="36"/>
      <c r="CU173" s="36"/>
      <c r="CV173" s="36"/>
      <c r="CW173" s="36"/>
      <c r="CX173" s="36"/>
      <c r="CY173" s="38"/>
      <c r="CZ173" s="38"/>
      <c r="DA173" s="13"/>
      <c r="DB173" s="13"/>
      <c r="DC173" s="13"/>
      <c r="DD173" s="13"/>
      <c r="DE173" s="13"/>
      <c r="DF173" s="13"/>
      <c r="DG173" s="13"/>
      <c r="DH173" s="13"/>
      <c r="DI173" s="13"/>
    </row>
    <row r="174" spans="2:113" ht="18" customHeight="1" x14ac:dyDescent="0.4">
      <c r="B174" s="27">
        <f t="shared" si="18"/>
        <v>163</v>
      </c>
      <c r="C174" s="28"/>
      <c r="D174" s="29"/>
      <c r="E174" s="29"/>
      <c r="F174" s="30"/>
      <c r="G174" s="31"/>
      <c r="H174" s="39"/>
      <c r="I174" s="32" t="str">
        <f t="shared" ref="I174:I237" si="19">IF(G174&gt;0,H174/G174,"")</f>
        <v/>
      </c>
      <c r="J174" s="33"/>
      <c r="K174" s="33"/>
      <c r="L174" s="40"/>
      <c r="M174" s="40"/>
      <c r="N174" s="44"/>
      <c r="O174" s="36"/>
      <c r="P174" s="36"/>
      <c r="Q174" s="36"/>
      <c r="R174" s="36"/>
      <c r="S174" s="36"/>
      <c r="T174" s="38"/>
      <c r="U174" s="38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8"/>
      <c r="CZ174" s="38"/>
      <c r="DA174" s="13"/>
      <c r="DB174" s="13"/>
      <c r="DC174" s="13"/>
      <c r="DD174" s="13"/>
      <c r="DE174" s="13"/>
      <c r="DF174" s="13"/>
      <c r="DG174" s="13"/>
      <c r="DH174" s="13"/>
      <c r="DI174" s="13"/>
    </row>
    <row r="175" spans="2:113" ht="18" customHeight="1" x14ac:dyDescent="0.4">
      <c r="B175" s="27">
        <f t="shared" si="18"/>
        <v>164</v>
      </c>
      <c r="C175" s="28"/>
      <c r="D175" s="51"/>
      <c r="E175" s="29"/>
      <c r="F175" s="30"/>
      <c r="G175" s="31"/>
      <c r="H175" s="39"/>
      <c r="I175" s="32" t="str">
        <f t="shared" si="19"/>
        <v/>
      </c>
      <c r="J175" s="33"/>
      <c r="K175" s="33"/>
      <c r="L175" s="34"/>
      <c r="M175" s="34"/>
      <c r="N175" s="48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 s="49"/>
      <c r="BI175" s="49"/>
      <c r="BJ175" s="49"/>
      <c r="BK175" s="49"/>
      <c r="BL175" s="49"/>
      <c r="BM175" s="49"/>
      <c r="BN175" s="49"/>
      <c r="BO175" s="49"/>
      <c r="BP175" s="49"/>
      <c r="BQ175" s="49"/>
      <c r="BR175" s="49"/>
      <c r="BS175" s="49"/>
      <c r="BT175" s="49"/>
      <c r="BU175" s="49"/>
      <c r="BV175" s="49"/>
      <c r="BW175" s="49"/>
      <c r="BX175" s="49"/>
      <c r="BY175" s="49"/>
      <c r="BZ175" s="49"/>
      <c r="CA175" s="49"/>
      <c r="CB175" s="49"/>
      <c r="CC175" s="49"/>
      <c r="CD175" s="49"/>
      <c r="CE175" s="49"/>
      <c r="CF175" s="49"/>
      <c r="CG175" s="49"/>
      <c r="CH175" s="49"/>
      <c r="CI175" s="49"/>
      <c r="CJ175" s="49"/>
      <c r="CK175" s="49"/>
      <c r="CL175" s="49"/>
      <c r="CM175" s="49"/>
      <c r="CN175" s="49"/>
      <c r="CO175" s="49"/>
      <c r="CP175" s="49"/>
      <c r="CQ175" s="49"/>
      <c r="CR175" s="49"/>
      <c r="CS175" s="49"/>
      <c r="CT175" s="49"/>
      <c r="CU175" s="49"/>
      <c r="CV175" s="49"/>
      <c r="CW175" s="49"/>
      <c r="CX175" s="49"/>
      <c r="CY175" s="49"/>
      <c r="CZ175" s="49"/>
    </row>
    <row r="176" spans="2:113" ht="18" customHeight="1" x14ac:dyDescent="0.4">
      <c r="B176" s="27">
        <f t="shared" si="18"/>
        <v>165</v>
      </c>
      <c r="C176" s="28"/>
      <c r="D176" s="29"/>
      <c r="E176" s="29"/>
      <c r="F176" s="30"/>
      <c r="G176" s="31"/>
      <c r="H176" s="39"/>
      <c r="I176" s="32" t="str">
        <f t="shared" si="19"/>
        <v/>
      </c>
      <c r="J176" s="33"/>
      <c r="K176" s="33"/>
      <c r="L176" s="34"/>
      <c r="M176" s="34"/>
      <c r="N176" s="36"/>
      <c r="O176" s="36"/>
      <c r="P176" s="36"/>
      <c r="Q176" s="36"/>
      <c r="R176" s="38"/>
      <c r="S176" s="38"/>
      <c r="T176" s="36"/>
      <c r="U176" s="36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8"/>
      <c r="CZ176" s="38"/>
      <c r="DA176" s="13"/>
      <c r="DB176" s="13"/>
      <c r="DC176" s="13"/>
      <c r="DD176" s="13"/>
      <c r="DE176" s="13"/>
      <c r="DF176" s="13"/>
      <c r="DG176" s="13"/>
      <c r="DH176" s="13"/>
      <c r="DI176" s="13"/>
    </row>
    <row r="177" spans="2:113" ht="18" customHeight="1" x14ac:dyDescent="0.4">
      <c r="B177" s="27">
        <f t="shared" si="18"/>
        <v>166</v>
      </c>
      <c r="C177" s="28"/>
      <c r="D177" s="29"/>
      <c r="E177" s="29"/>
      <c r="F177" s="30"/>
      <c r="G177" s="31"/>
      <c r="H177" s="39"/>
      <c r="I177" s="32" t="str">
        <f t="shared" si="19"/>
        <v/>
      </c>
      <c r="J177" s="33"/>
      <c r="K177" s="33"/>
      <c r="L177" s="34"/>
      <c r="M177" s="34"/>
      <c r="N177" s="44"/>
      <c r="O177" s="36"/>
      <c r="P177" s="36"/>
      <c r="Q177" s="36"/>
      <c r="R177" s="38"/>
      <c r="S177" s="38"/>
      <c r="T177" s="38"/>
      <c r="U177" s="38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8"/>
      <c r="CZ177" s="38"/>
      <c r="DA177" s="13"/>
      <c r="DB177" s="13"/>
      <c r="DC177" s="13"/>
      <c r="DD177" s="13"/>
      <c r="DE177" s="13"/>
      <c r="DF177" s="13"/>
      <c r="DG177" s="13"/>
      <c r="DH177" s="13"/>
      <c r="DI177" s="13"/>
    </row>
    <row r="178" spans="2:113" ht="18" customHeight="1" x14ac:dyDescent="0.4">
      <c r="B178" s="27">
        <f t="shared" si="18"/>
        <v>167</v>
      </c>
      <c r="C178" s="28"/>
      <c r="D178" s="29"/>
      <c r="E178" s="29"/>
      <c r="F178" s="30"/>
      <c r="G178" s="31"/>
      <c r="H178" s="43"/>
      <c r="I178" s="32" t="str">
        <f t="shared" si="19"/>
        <v/>
      </c>
      <c r="J178" s="33"/>
      <c r="K178" s="33"/>
      <c r="L178" s="34"/>
      <c r="M178" s="34"/>
      <c r="N178" s="44"/>
      <c r="O178" s="36"/>
      <c r="P178" s="36"/>
      <c r="Q178" s="36"/>
      <c r="R178" s="36"/>
      <c r="S178" s="36"/>
      <c r="T178" s="38"/>
      <c r="U178" s="38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8"/>
      <c r="CZ178" s="38"/>
      <c r="DA178" s="13"/>
      <c r="DB178" s="13"/>
      <c r="DC178" s="13"/>
      <c r="DD178" s="13"/>
      <c r="DE178" s="13"/>
      <c r="DF178" s="13"/>
      <c r="DG178" s="13"/>
      <c r="DH178" s="13"/>
      <c r="DI178" s="13"/>
    </row>
    <row r="179" spans="2:113" ht="18" customHeight="1" x14ac:dyDescent="0.4">
      <c r="B179" s="27">
        <f t="shared" si="18"/>
        <v>168</v>
      </c>
      <c r="C179" s="28"/>
      <c r="D179" s="29"/>
      <c r="E179" s="29"/>
      <c r="F179" s="30"/>
      <c r="G179" s="31"/>
      <c r="H179" s="39"/>
      <c r="I179" s="32" t="str">
        <f t="shared" si="19"/>
        <v/>
      </c>
      <c r="J179" s="33"/>
      <c r="K179" s="33"/>
      <c r="L179" s="40"/>
      <c r="M179" s="40"/>
      <c r="N179" s="44"/>
      <c r="O179" s="36"/>
      <c r="P179" s="36"/>
      <c r="Q179" s="36"/>
      <c r="R179" s="36"/>
      <c r="S179" s="36"/>
      <c r="T179" s="38"/>
      <c r="U179" s="38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8"/>
      <c r="CZ179" s="38"/>
      <c r="DA179" s="13"/>
      <c r="DB179" s="13"/>
      <c r="DC179" s="13"/>
      <c r="DD179" s="13"/>
      <c r="DE179" s="13"/>
      <c r="DF179" s="13"/>
      <c r="DG179" s="13"/>
      <c r="DH179" s="13"/>
      <c r="DI179" s="13"/>
    </row>
    <row r="180" spans="2:113" ht="18" customHeight="1" x14ac:dyDescent="0.4">
      <c r="B180" s="27">
        <f t="shared" si="18"/>
        <v>169</v>
      </c>
      <c r="C180" s="28"/>
      <c r="D180" s="29"/>
      <c r="E180" s="29"/>
      <c r="F180" s="30"/>
      <c r="G180" s="31"/>
      <c r="H180" s="39"/>
      <c r="I180" s="32" t="str">
        <f t="shared" si="19"/>
        <v/>
      </c>
      <c r="J180" s="33"/>
      <c r="K180" s="33"/>
      <c r="L180" s="34"/>
      <c r="M180" s="34"/>
      <c r="N180" s="36"/>
      <c r="O180" s="36"/>
      <c r="P180" s="36"/>
      <c r="Q180" s="36"/>
      <c r="R180" s="38"/>
      <c r="S180" s="38"/>
      <c r="T180" s="36"/>
      <c r="U180" s="36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8"/>
      <c r="CZ180" s="38"/>
      <c r="DA180" s="13"/>
      <c r="DB180" s="13"/>
      <c r="DC180" s="13"/>
      <c r="DD180" s="13"/>
      <c r="DE180" s="13"/>
      <c r="DF180" s="13"/>
      <c r="DG180" s="13"/>
      <c r="DH180" s="13"/>
      <c r="DI180" s="13"/>
    </row>
    <row r="181" spans="2:113" ht="18" customHeight="1" x14ac:dyDescent="0.4">
      <c r="B181" s="27">
        <f t="shared" si="18"/>
        <v>170</v>
      </c>
      <c r="C181" s="28"/>
      <c r="D181" s="28"/>
      <c r="E181" s="29"/>
      <c r="F181" s="30"/>
      <c r="G181" s="31"/>
      <c r="H181" s="39"/>
      <c r="I181" s="32" t="str">
        <f t="shared" si="19"/>
        <v/>
      </c>
      <c r="J181" s="33"/>
      <c r="K181" s="33"/>
      <c r="L181" s="40"/>
      <c r="M181" s="40"/>
      <c r="N181" s="36"/>
      <c r="O181" s="36"/>
      <c r="P181" s="36"/>
      <c r="Q181" s="36"/>
      <c r="R181" s="38"/>
      <c r="S181" s="38"/>
      <c r="T181" s="36"/>
      <c r="U181" s="36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8"/>
      <c r="CZ181" s="38"/>
      <c r="DA181" s="13"/>
      <c r="DB181" s="13"/>
      <c r="DC181" s="13"/>
      <c r="DD181" s="13"/>
      <c r="DE181" s="13"/>
      <c r="DF181" s="13"/>
      <c r="DG181" s="13"/>
      <c r="DH181" s="13"/>
      <c r="DI181" s="13"/>
    </row>
    <row r="182" spans="2:113" ht="18" customHeight="1" x14ac:dyDescent="0.4">
      <c r="B182" s="27">
        <f t="shared" si="18"/>
        <v>171</v>
      </c>
      <c r="C182" s="28"/>
      <c r="D182" s="29"/>
      <c r="E182" s="29"/>
      <c r="F182" s="30"/>
      <c r="G182" s="31"/>
      <c r="H182" s="39"/>
      <c r="I182" s="32" t="str">
        <f t="shared" si="19"/>
        <v/>
      </c>
      <c r="J182" s="33"/>
      <c r="K182" s="33"/>
      <c r="L182" s="40"/>
      <c r="M182" s="40"/>
      <c r="N182" s="36"/>
      <c r="O182" s="36"/>
      <c r="P182" s="36"/>
      <c r="Q182" s="36"/>
      <c r="R182" s="38"/>
      <c r="S182" s="38"/>
      <c r="T182" s="36"/>
      <c r="U182" s="36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8"/>
      <c r="CZ182" s="38"/>
      <c r="DA182" s="13"/>
      <c r="DB182" s="13"/>
      <c r="DC182" s="13"/>
      <c r="DD182" s="13"/>
      <c r="DE182" s="13"/>
      <c r="DF182" s="13"/>
      <c r="DG182" s="13"/>
      <c r="DH182" s="13"/>
      <c r="DI182" s="13"/>
    </row>
    <row r="183" spans="2:113" ht="18" customHeight="1" x14ac:dyDescent="0.4">
      <c r="B183" s="27">
        <f t="shared" si="18"/>
        <v>172</v>
      </c>
      <c r="C183" s="28"/>
      <c r="D183" s="29"/>
      <c r="E183" s="29"/>
      <c r="F183" s="30"/>
      <c r="G183" s="31"/>
      <c r="H183" s="39"/>
      <c r="I183" s="32" t="str">
        <f t="shared" si="19"/>
        <v/>
      </c>
      <c r="J183" s="33"/>
      <c r="K183" s="33"/>
      <c r="L183" s="40"/>
      <c r="M183" s="40"/>
      <c r="N183" s="36"/>
      <c r="O183" s="36"/>
      <c r="P183" s="36"/>
      <c r="Q183" s="36"/>
      <c r="R183" s="38"/>
      <c r="S183" s="38"/>
      <c r="T183" s="36"/>
      <c r="U183" s="36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8"/>
      <c r="CZ183" s="38"/>
      <c r="DA183" s="13"/>
      <c r="DB183" s="13"/>
      <c r="DC183" s="13"/>
      <c r="DD183" s="13"/>
      <c r="DE183" s="13"/>
      <c r="DF183" s="13"/>
      <c r="DG183" s="13"/>
      <c r="DH183" s="13"/>
      <c r="DI183" s="13"/>
    </row>
    <row r="184" spans="2:113" ht="18" customHeight="1" x14ac:dyDescent="0.4">
      <c r="B184" s="27">
        <f t="shared" si="18"/>
        <v>173</v>
      </c>
      <c r="C184" s="28"/>
      <c r="D184" s="29"/>
      <c r="E184" s="29"/>
      <c r="F184" s="30"/>
      <c r="G184" s="31"/>
      <c r="H184" s="39"/>
      <c r="I184" s="32" t="str">
        <f t="shared" si="19"/>
        <v/>
      </c>
      <c r="J184" s="33"/>
      <c r="K184" s="33"/>
      <c r="L184" s="34"/>
      <c r="M184" s="34"/>
      <c r="N184" s="36"/>
      <c r="O184" s="36"/>
      <c r="P184" s="36"/>
      <c r="Q184" s="36"/>
      <c r="R184" s="38"/>
      <c r="S184" s="38"/>
      <c r="T184" s="38"/>
      <c r="U184" s="38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50"/>
      <c r="BY184" s="50"/>
      <c r="BZ184" s="50"/>
      <c r="CA184" s="50"/>
      <c r="CB184" s="50"/>
      <c r="CC184" s="36"/>
      <c r="CD184" s="36"/>
      <c r="CE184" s="50"/>
      <c r="CF184" s="50"/>
      <c r="CG184" s="50"/>
      <c r="CH184" s="50"/>
      <c r="CI184" s="50"/>
      <c r="CJ184" s="36"/>
      <c r="CK184" s="36"/>
      <c r="CL184" s="50"/>
      <c r="CM184" s="50"/>
      <c r="CN184" s="50"/>
      <c r="CO184" s="50"/>
      <c r="CP184" s="50"/>
      <c r="CQ184" s="36"/>
      <c r="CR184" s="36"/>
      <c r="CS184" s="39"/>
      <c r="CT184" s="39"/>
      <c r="CU184" s="39"/>
      <c r="CV184" s="39"/>
      <c r="CW184" s="39"/>
      <c r="CX184" s="36"/>
      <c r="CY184" s="38"/>
      <c r="CZ184" s="38"/>
      <c r="DA184" s="13"/>
      <c r="DB184" s="13"/>
      <c r="DC184" s="13"/>
      <c r="DD184" s="13"/>
      <c r="DE184" s="13"/>
      <c r="DF184" s="13"/>
      <c r="DG184" s="13"/>
      <c r="DH184" s="13"/>
      <c r="DI184" s="13"/>
    </row>
    <row r="185" spans="2:113" ht="18" customHeight="1" x14ac:dyDescent="0.4">
      <c r="B185" s="27">
        <f t="shared" si="18"/>
        <v>174</v>
      </c>
      <c r="C185" s="28"/>
      <c r="D185" s="29"/>
      <c r="E185" s="29"/>
      <c r="F185" s="30"/>
      <c r="G185" s="31"/>
      <c r="H185" s="43"/>
      <c r="I185" s="32" t="str">
        <f t="shared" si="19"/>
        <v/>
      </c>
      <c r="J185" s="33"/>
      <c r="K185" s="33"/>
      <c r="L185" s="40"/>
      <c r="M185" s="40"/>
      <c r="N185" s="36"/>
      <c r="O185" s="36"/>
      <c r="P185" s="36"/>
      <c r="Q185" s="36"/>
      <c r="R185" s="38"/>
      <c r="S185" s="38"/>
      <c r="T185" s="38"/>
      <c r="U185" s="38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50"/>
      <c r="BG185" s="50"/>
      <c r="BH185" s="36"/>
      <c r="BI185" s="36"/>
      <c r="BJ185" s="50"/>
      <c r="BK185" s="50"/>
      <c r="BL185" s="50"/>
      <c r="BM185" s="50"/>
      <c r="BN185" s="50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8"/>
      <c r="CZ185" s="38"/>
      <c r="DA185" s="13"/>
      <c r="DB185" s="13"/>
      <c r="DC185" s="13"/>
      <c r="DD185" s="13"/>
      <c r="DE185" s="13"/>
      <c r="DF185" s="13"/>
      <c r="DG185" s="13"/>
      <c r="DH185" s="13"/>
      <c r="DI185" s="13"/>
    </row>
    <row r="186" spans="2:113" ht="18" customHeight="1" x14ac:dyDescent="0.4">
      <c r="B186" s="27">
        <f t="shared" si="18"/>
        <v>175</v>
      </c>
      <c r="C186" s="28"/>
      <c r="D186" s="29"/>
      <c r="E186" s="29"/>
      <c r="F186" s="30"/>
      <c r="G186" s="31"/>
      <c r="H186" s="39"/>
      <c r="I186" s="32" t="str">
        <f t="shared" si="19"/>
        <v/>
      </c>
      <c r="J186" s="33"/>
      <c r="K186" s="33"/>
      <c r="L186" s="40"/>
      <c r="M186" s="40"/>
      <c r="N186" s="36"/>
      <c r="O186" s="36"/>
      <c r="P186" s="36"/>
      <c r="Q186" s="36"/>
      <c r="R186" s="38"/>
      <c r="S186" s="38"/>
      <c r="T186" s="52"/>
      <c r="U186" s="5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39"/>
      <c r="BG186" s="39"/>
      <c r="BH186" s="36"/>
      <c r="BI186" s="36"/>
      <c r="BJ186" s="39"/>
      <c r="BK186" s="39"/>
      <c r="BL186" s="39"/>
      <c r="BM186" s="39"/>
      <c r="BN186" s="39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8"/>
      <c r="CZ186" s="38"/>
      <c r="DA186" s="13"/>
      <c r="DB186" s="13"/>
      <c r="DC186" s="13"/>
      <c r="DD186" s="13"/>
      <c r="DE186" s="13"/>
      <c r="DF186" s="13"/>
      <c r="DG186" s="13"/>
      <c r="DH186" s="13"/>
      <c r="DI186" s="13"/>
    </row>
    <row r="187" spans="2:113" ht="18" customHeight="1" x14ac:dyDescent="0.4">
      <c r="B187" s="27">
        <f t="shared" si="18"/>
        <v>176</v>
      </c>
      <c r="C187" s="28"/>
      <c r="D187" s="28"/>
      <c r="E187" s="29"/>
      <c r="F187" s="30"/>
      <c r="G187" s="31"/>
      <c r="H187" s="43"/>
      <c r="I187" s="32" t="str">
        <f t="shared" si="19"/>
        <v/>
      </c>
      <c r="J187" s="33"/>
      <c r="K187" s="33"/>
      <c r="L187" s="34"/>
      <c r="M187" s="34"/>
      <c r="N187" s="44"/>
      <c r="O187" s="36"/>
      <c r="P187" s="36"/>
      <c r="Q187" s="36"/>
      <c r="R187" s="36"/>
      <c r="S187" s="36"/>
      <c r="T187" s="38"/>
      <c r="U187" s="38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8"/>
      <c r="CZ187" s="38"/>
      <c r="DA187" s="13"/>
      <c r="DB187" s="13"/>
      <c r="DC187" s="13"/>
      <c r="DD187" s="13"/>
      <c r="DE187" s="13"/>
      <c r="DF187" s="13"/>
      <c r="DG187" s="13"/>
      <c r="DH187" s="13"/>
      <c r="DI187" s="13"/>
    </row>
    <row r="188" spans="2:113" ht="18" customHeight="1" x14ac:dyDescent="0.4">
      <c r="B188" s="27">
        <f t="shared" si="18"/>
        <v>177</v>
      </c>
      <c r="C188" s="28"/>
      <c r="D188" s="29"/>
      <c r="E188" s="29"/>
      <c r="F188" s="30"/>
      <c r="G188" s="31"/>
      <c r="H188" s="45"/>
      <c r="I188" s="32" t="str">
        <f t="shared" si="19"/>
        <v/>
      </c>
      <c r="J188" s="33"/>
      <c r="K188" s="33"/>
      <c r="L188" s="46"/>
      <c r="M188" s="46"/>
      <c r="N188" s="36"/>
      <c r="O188" s="36"/>
      <c r="P188" s="36"/>
      <c r="Q188" s="36"/>
      <c r="R188" s="38"/>
      <c r="S188" s="38"/>
      <c r="T188" s="52"/>
      <c r="U188" s="5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8"/>
      <c r="CZ188" s="38"/>
      <c r="DA188" s="13"/>
      <c r="DB188" s="13"/>
      <c r="DC188" s="13"/>
      <c r="DD188" s="13"/>
      <c r="DE188" s="13"/>
      <c r="DF188" s="13"/>
      <c r="DG188" s="13"/>
      <c r="DH188" s="13"/>
      <c r="DI188" s="13"/>
    </row>
    <row r="189" spans="2:113" ht="18" customHeight="1" x14ac:dyDescent="0.4">
      <c r="B189" s="27">
        <f t="shared" si="18"/>
        <v>178</v>
      </c>
      <c r="C189" s="28"/>
      <c r="D189" s="29"/>
      <c r="E189" s="29"/>
      <c r="F189" s="30"/>
      <c r="G189" s="31"/>
      <c r="H189" s="45"/>
      <c r="I189" s="32" t="str">
        <f t="shared" si="19"/>
        <v/>
      </c>
      <c r="J189" s="33"/>
      <c r="K189" s="33"/>
      <c r="L189" s="46"/>
      <c r="M189" s="46"/>
      <c r="N189" s="41"/>
      <c r="O189" s="36"/>
      <c r="P189" s="36"/>
      <c r="Q189" s="41"/>
      <c r="R189" s="38"/>
      <c r="S189" s="38"/>
      <c r="T189" s="38"/>
      <c r="U189" s="38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37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36"/>
      <c r="BG189" s="36"/>
      <c r="BH189" s="36"/>
      <c r="BI189" s="36"/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/>
      <c r="CI189" s="36"/>
      <c r="CJ189" s="36"/>
      <c r="CK189" s="36"/>
      <c r="CL189" s="36"/>
      <c r="CM189" s="36"/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8"/>
      <c r="CZ189" s="38"/>
      <c r="DA189" s="13"/>
      <c r="DB189" s="13"/>
      <c r="DC189" s="13"/>
      <c r="DD189" s="13"/>
      <c r="DE189" s="13"/>
      <c r="DF189" s="13"/>
      <c r="DG189" s="13"/>
      <c r="DH189" s="13"/>
      <c r="DI189" s="13"/>
    </row>
    <row r="190" spans="2:113" ht="18" customHeight="1" x14ac:dyDescent="0.4">
      <c r="B190" s="27">
        <f t="shared" si="18"/>
        <v>179</v>
      </c>
      <c r="C190" s="28"/>
      <c r="D190" s="28"/>
      <c r="E190" s="29"/>
      <c r="F190" s="30"/>
      <c r="G190" s="31"/>
      <c r="H190" s="43"/>
      <c r="I190" s="32" t="str">
        <f t="shared" si="19"/>
        <v/>
      </c>
      <c r="J190" s="33"/>
      <c r="K190" s="33"/>
      <c r="L190" s="34"/>
      <c r="M190" s="34"/>
      <c r="N190" s="36"/>
      <c r="O190" s="36"/>
      <c r="P190" s="36"/>
      <c r="Q190" s="36"/>
      <c r="R190" s="38"/>
      <c r="S190" s="38"/>
      <c r="T190" s="38"/>
      <c r="U190" s="38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/>
      <c r="CM190" s="36"/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8"/>
      <c r="CZ190" s="38"/>
      <c r="DA190" s="13"/>
      <c r="DB190" s="13"/>
      <c r="DC190" s="13"/>
      <c r="DD190" s="13"/>
      <c r="DE190" s="13"/>
      <c r="DF190" s="13"/>
      <c r="DG190" s="13"/>
      <c r="DH190" s="13"/>
      <c r="DI190" s="13"/>
    </row>
    <row r="191" spans="2:113" ht="18" customHeight="1" x14ac:dyDescent="0.4">
      <c r="B191" s="27">
        <f t="shared" si="18"/>
        <v>180</v>
      </c>
      <c r="C191" s="28"/>
      <c r="D191" s="28"/>
      <c r="E191" s="29"/>
      <c r="F191" s="30"/>
      <c r="G191" s="31"/>
      <c r="H191" s="39"/>
      <c r="I191" s="32" t="str">
        <f t="shared" si="19"/>
        <v/>
      </c>
      <c r="J191" s="33"/>
      <c r="K191" s="33"/>
      <c r="L191" s="34"/>
      <c r="M191" s="34"/>
      <c r="N191" s="47"/>
      <c r="O191" s="36"/>
      <c r="P191" s="36"/>
      <c r="Q191" s="36"/>
      <c r="R191" s="38"/>
      <c r="S191" s="38"/>
      <c r="T191" s="38"/>
      <c r="U191" s="38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/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8"/>
      <c r="CZ191" s="38"/>
      <c r="DA191" s="13"/>
      <c r="DB191" s="13"/>
      <c r="DC191" s="13"/>
      <c r="DD191" s="13"/>
      <c r="DE191" s="13"/>
      <c r="DF191" s="13"/>
      <c r="DG191" s="13"/>
      <c r="DH191" s="13"/>
      <c r="DI191" s="13"/>
    </row>
    <row r="192" spans="2:113" ht="18" customHeight="1" x14ac:dyDescent="0.4">
      <c r="B192" s="27">
        <f t="shared" si="18"/>
        <v>181</v>
      </c>
      <c r="C192" s="28"/>
      <c r="D192" s="28"/>
      <c r="E192" s="29"/>
      <c r="F192" s="30"/>
      <c r="G192" s="31"/>
      <c r="H192" s="43"/>
      <c r="I192" s="32" t="str">
        <f t="shared" si="19"/>
        <v/>
      </c>
      <c r="J192" s="33"/>
      <c r="K192" s="33"/>
      <c r="L192" s="34"/>
      <c r="M192" s="34"/>
      <c r="N192" s="36"/>
      <c r="O192" s="36"/>
      <c r="P192" s="36"/>
      <c r="Q192" s="36"/>
      <c r="R192" s="38"/>
      <c r="S192" s="38"/>
      <c r="T192" s="53"/>
      <c r="U192" s="53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/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/>
      <c r="CY192" s="38"/>
      <c r="CZ192" s="38"/>
      <c r="DA192" s="13"/>
      <c r="DB192" s="13"/>
      <c r="DC192" s="13"/>
      <c r="DD192" s="13"/>
      <c r="DE192" s="13"/>
      <c r="DF192" s="13"/>
      <c r="DG192" s="13"/>
      <c r="DH192" s="13"/>
      <c r="DI192" s="13"/>
    </row>
    <row r="193" spans="2:113" ht="18" customHeight="1" x14ac:dyDescent="0.4">
      <c r="B193" s="27">
        <f t="shared" si="18"/>
        <v>182</v>
      </c>
      <c r="C193" s="28"/>
      <c r="D193" s="29"/>
      <c r="E193" s="29"/>
      <c r="F193" s="30"/>
      <c r="G193" s="31"/>
      <c r="H193" s="39"/>
      <c r="I193" s="32" t="str">
        <f t="shared" si="19"/>
        <v/>
      </c>
      <c r="J193" s="33"/>
      <c r="K193" s="33"/>
      <c r="L193" s="34"/>
      <c r="M193" s="34"/>
      <c r="N193" s="44"/>
      <c r="O193" s="36"/>
      <c r="P193" s="36"/>
      <c r="Q193" s="36"/>
      <c r="R193" s="38"/>
      <c r="S193" s="38"/>
      <c r="T193" s="38"/>
      <c r="U193" s="38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8"/>
      <c r="CZ193" s="38"/>
      <c r="DA193" s="13"/>
      <c r="DB193" s="13"/>
      <c r="DC193" s="13"/>
      <c r="DD193" s="13"/>
      <c r="DE193" s="13"/>
      <c r="DF193" s="13"/>
      <c r="DG193" s="13"/>
      <c r="DH193" s="13"/>
      <c r="DI193" s="13"/>
    </row>
    <row r="194" spans="2:113" ht="18" customHeight="1" x14ac:dyDescent="0.4">
      <c r="B194" s="27">
        <f t="shared" si="18"/>
        <v>183</v>
      </c>
      <c r="C194" s="28"/>
      <c r="D194" s="29"/>
      <c r="E194" s="29"/>
      <c r="F194" s="30"/>
      <c r="G194" s="31"/>
      <c r="H194" s="43"/>
      <c r="I194" s="32" t="str">
        <f t="shared" si="19"/>
        <v/>
      </c>
      <c r="J194" s="33"/>
      <c r="K194" s="33"/>
      <c r="L194" s="34"/>
      <c r="M194" s="34"/>
      <c r="N194" s="54"/>
      <c r="O194" s="54"/>
      <c r="P194" s="54"/>
      <c r="Q194" s="54"/>
      <c r="R194" s="38"/>
      <c r="S194" s="38"/>
      <c r="T194" s="38"/>
      <c r="U194" s="38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8"/>
      <c r="CZ194" s="38"/>
      <c r="DA194" s="13"/>
      <c r="DB194" s="13"/>
      <c r="DC194" s="13"/>
      <c r="DD194" s="13"/>
      <c r="DE194" s="13"/>
      <c r="DF194" s="13"/>
      <c r="DG194" s="13"/>
      <c r="DH194" s="13"/>
      <c r="DI194" s="13"/>
    </row>
    <row r="195" spans="2:113" ht="18" customHeight="1" x14ac:dyDescent="0.4">
      <c r="B195" s="27">
        <f t="shared" si="18"/>
        <v>184</v>
      </c>
      <c r="C195" s="28"/>
      <c r="D195" s="29"/>
      <c r="E195" s="29"/>
      <c r="F195" s="30"/>
      <c r="G195" s="31"/>
      <c r="H195" s="43"/>
      <c r="I195" s="32" t="str">
        <f t="shared" si="19"/>
        <v/>
      </c>
      <c r="J195" s="33"/>
      <c r="K195" s="33"/>
      <c r="L195" s="34"/>
      <c r="M195" s="34"/>
      <c r="N195" s="54"/>
      <c r="O195" s="54"/>
      <c r="P195" s="54"/>
      <c r="Q195" s="54"/>
      <c r="R195" s="38"/>
      <c r="S195" s="38"/>
      <c r="T195" s="54"/>
      <c r="U195" s="54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8"/>
      <c r="CZ195" s="38"/>
      <c r="DA195" s="13"/>
      <c r="DB195" s="13"/>
      <c r="DC195" s="13"/>
      <c r="DD195" s="13"/>
      <c r="DE195" s="13"/>
      <c r="DF195" s="13"/>
      <c r="DG195" s="13"/>
      <c r="DH195" s="13"/>
      <c r="DI195" s="13"/>
    </row>
    <row r="196" spans="2:113" ht="18" customHeight="1" x14ac:dyDescent="0.4">
      <c r="B196" s="27">
        <f t="shared" si="18"/>
        <v>185</v>
      </c>
      <c r="C196" s="28"/>
      <c r="D196" s="29"/>
      <c r="E196" s="29"/>
      <c r="F196" s="30"/>
      <c r="G196" s="31"/>
      <c r="H196" s="39"/>
      <c r="I196" s="32" t="str">
        <f t="shared" si="19"/>
        <v/>
      </c>
      <c r="J196" s="33"/>
      <c r="K196" s="33"/>
      <c r="L196" s="40"/>
      <c r="M196" s="40"/>
      <c r="N196" s="44"/>
      <c r="O196" s="36"/>
      <c r="P196" s="36"/>
      <c r="Q196" s="36"/>
      <c r="R196" s="36"/>
      <c r="S196" s="36"/>
      <c r="T196" s="38"/>
      <c r="U196" s="38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8"/>
      <c r="CZ196" s="38"/>
      <c r="DA196" s="13"/>
      <c r="DB196" s="13"/>
      <c r="DC196" s="13"/>
      <c r="DD196" s="13"/>
      <c r="DE196" s="13"/>
      <c r="DF196" s="13"/>
      <c r="DG196" s="13"/>
      <c r="DH196" s="13"/>
      <c r="DI196" s="13"/>
    </row>
    <row r="197" spans="2:113" ht="18" customHeight="1" x14ac:dyDescent="0.4">
      <c r="B197" s="27">
        <f t="shared" si="18"/>
        <v>186</v>
      </c>
      <c r="C197" s="28"/>
      <c r="D197" s="29"/>
      <c r="E197" s="29"/>
      <c r="F197" s="30"/>
      <c r="G197" s="31"/>
      <c r="H197" s="39"/>
      <c r="I197" s="32" t="str">
        <f t="shared" si="19"/>
        <v/>
      </c>
      <c r="J197" s="33"/>
      <c r="K197" s="33"/>
      <c r="L197" s="40"/>
      <c r="M197" s="40"/>
      <c r="N197" s="36"/>
      <c r="O197" s="36"/>
      <c r="P197" s="36"/>
      <c r="Q197" s="36"/>
      <c r="R197" s="38"/>
      <c r="S197" s="38"/>
      <c r="T197" s="38"/>
      <c r="U197" s="38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50"/>
      <c r="BG197" s="50"/>
      <c r="BH197" s="36"/>
      <c r="BI197" s="36"/>
      <c r="BJ197" s="50"/>
      <c r="BK197" s="50"/>
      <c r="BL197" s="50"/>
      <c r="BM197" s="50"/>
      <c r="BN197" s="50"/>
      <c r="BO197" s="36"/>
      <c r="BP197" s="36"/>
      <c r="BQ197" s="39"/>
      <c r="BR197" s="39"/>
      <c r="BS197" s="39"/>
      <c r="BT197" s="39"/>
      <c r="BU197" s="39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8"/>
      <c r="CZ197" s="38"/>
      <c r="DA197" s="13"/>
      <c r="DB197" s="13"/>
      <c r="DC197" s="13"/>
      <c r="DD197" s="13"/>
      <c r="DE197" s="13"/>
      <c r="DF197" s="13"/>
      <c r="DG197" s="13"/>
      <c r="DH197" s="13"/>
      <c r="DI197" s="13"/>
    </row>
    <row r="198" spans="2:113" ht="18" customHeight="1" x14ac:dyDescent="0.4">
      <c r="B198" s="27">
        <f t="shared" si="18"/>
        <v>187</v>
      </c>
      <c r="C198" s="28"/>
      <c r="D198" s="29"/>
      <c r="E198" s="29"/>
      <c r="F198" s="30"/>
      <c r="G198" s="31"/>
      <c r="H198" s="39"/>
      <c r="I198" s="32" t="str">
        <f t="shared" si="19"/>
        <v/>
      </c>
      <c r="J198" s="33"/>
      <c r="K198" s="33"/>
      <c r="L198" s="40"/>
      <c r="M198" s="40"/>
      <c r="N198" s="36"/>
      <c r="O198" s="41"/>
      <c r="P198" s="41"/>
      <c r="Q198" s="41"/>
      <c r="R198" s="38"/>
      <c r="S198" s="38"/>
      <c r="T198" s="38"/>
      <c r="U198" s="38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8"/>
      <c r="CZ198" s="38"/>
      <c r="DA198" s="13"/>
      <c r="DB198" s="13"/>
      <c r="DC198" s="13"/>
      <c r="DD198" s="13"/>
      <c r="DE198" s="13"/>
      <c r="DF198" s="13"/>
      <c r="DG198" s="13"/>
      <c r="DH198" s="13"/>
      <c r="DI198" s="13"/>
    </row>
    <row r="199" spans="2:113" ht="18" customHeight="1" x14ac:dyDescent="0.4">
      <c r="B199" s="27">
        <f t="shared" si="18"/>
        <v>188</v>
      </c>
      <c r="C199" s="28"/>
      <c r="D199" s="29"/>
      <c r="E199" s="29"/>
      <c r="F199" s="30"/>
      <c r="G199" s="31"/>
      <c r="H199" s="39"/>
      <c r="I199" s="32" t="str">
        <f t="shared" si="19"/>
        <v/>
      </c>
      <c r="J199" s="33"/>
      <c r="K199" s="33"/>
      <c r="L199" s="34"/>
      <c r="M199" s="34"/>
      <c r="N199" s="36"/>
      <c r="O199" s="36"/>
      <c r="P199" s="36"/>
      <c r="Q199" s="36"/>
      <c r="R199" s="38"/>
      <c r="S199" s="38"/>
      <c r="T199" s="52"/>
      <c r="U199" s="52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8"/>
      <c r="CZ199" s="38"/>
      <c r="DA199" s="13"/>
      <c r="DB199" s="13"/>
      <c r="DC199" s="13"/>
      <c r="DD199" s="13"/>
      <c r="DE199" s="13"/>
      <c r="DF199" s="13"/>
      <c r="DG199" s="13"/>
      <c r="DH199" s="13"/>
      <c r="DI199" s="13"/>
    </row>
    <row r="200" spans="2:113" ht="18" customHeight="1" x14ac:dyDescent="0.4">
      <c r="B200" s="27">
        <f t="shared" si="18"/>
        <v>189</v>
      </c>
      <c r="C200" s="28"/>
      <c r="D200" s="29"/>
      <c r="E200" s="29"/>
      <c r="F200" s="30"/>
      <c r="G200" s="31"/>
      <c r="H200" s="39"/>
      <c r="I200" s="32" t="str">
        <f t="shared" si="19"/>
        <v/>
      </c>
      <c r="J200" s="33"/>
      <c r="K200" s="33"/>
      <c r="L200" s="40"/>
      <c r="M200" s="40"/>
      <c r="N200" s="36"/>
      <c r="O200" s="36"/>
      <c r="P200" s="36"/>
      <c r="Q200" s="36"/>
      <c r="R200" s="38"/>
      <c r="S200" s="38"/>
      <c r="T200" s="52"/>
      <c r="U200" s="52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8"/>
      <c r="CZ200" s="38"/>
      <c r="DA200" s="13"/>
      <c r="DB200" s="13"/>
      <c r="DC200" s="13"/>
      <c r="DD200" s="13"/>
      <c r="DE200" s="13"/>
      <c r="DF200" s="13"/>
      <c r="DG200" s="13"/>
      <c r="DH200" s="13"/>
      <c r="DI200" s="13"/>
    </row>
    <row r="201" spans="2:113" ht="18" customHeight="1" x14ac:dyDescent="0.4">
      <c r="B201" s="27">
        <f t="shared" si="18"/>
        <v>190</v>
      </c>
      <c r="C201" s="28"/>
      <c r="D201" s="29"/>
      <c r="E201" s="29"/>
      <c r="F201" s="30"/>
      <c r="G201" s="31"/>
      <c r="H201" s="39"/>
      <c r="I201" s="32" t="str">
        <f t="shared" si="19"/>
        <v/>
      </c>
      <c r="J201" s="33"/>
      <c r="K201" s="33"/>
      <c r="L201" s="34"/>
      <c r="M201" s="34"/>
      <c r="N201" s="48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49"/>
      <c r="BW201" s="49"/>
      <c r="BX201" s="49"/>
      <c r="BY201" s="49"/>
      <c r="BZ201" s="49"/>
      <c r="CA201" s="49"/>
      <c r="CB201" s="49"/>
      <c r="CC201" s="49"/>
      <c r="CD201" s="49"/>
      <c r="CE201" s="49"/>
      <c r="CF201" s="49"/>
      <c r="CG201" s="49"/>
      <c r="CH201" s="49"/>
      <c r="CI201" s="49"/>
      <c r="CJ201" s="49"/>
      <c r="CK201" s="49"/>
      <c r="CL201" s="49"/>
      <c r="CM201" s="49"/>
      <c r="CN201" s="49"/>
      <c r="CO201" s="49"/>
      <c r="CP201" s="49"/>
      <c r="CQ201" s="49"/>
      <c r="CR201" s="49"/>
      <c r="CS201" s="49"/>
      <c r="CT201" s="49"/>
      <c r="CU201" s="49"/>
      <c r="CV201" s="49"/>
      <c r="CW201" s="49"/>
      <c r="CX201" s="49"/>
      <c r="CY201" s="49"/>
      <c r="CZ201" s="49"/>
    </row>
    <row r="202" spans="2:113" ht="18" customHeight="1" x14ac:dyDescent="0.4">
      <c r="B202" s="27">
        <f t="shared" si="18"/>
        <v>191</v>
      </c>
      <c r="C202" s="28"/>
      <c r="D202" s="29"/>
      <c r="E202" s="29"/>
      <c r="F202" s="30"/>
      <c r="G202" s="31"/>
      <c r="H202" s="45"/>
      <c r="I202" s="32" t="str">
        <f t="shared" si="19"/>
        <v/>
      </c>
      <c r="J202" s="33"/>
      <c r="K202" s="33"/>
      <c r="L202" s="46"/>
      <c r="M202" s="46"/>
      <c r="N202" s="48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/>
      <c r="AT202" s="49"/>
      <c r="AU202" s="49"/>
      <c r="AV202" s="49"/>
      <c r="AW202" s="49"/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 s="49"/>
      <c r="BI202" s="49"/>
      <c r="BJ202" s="49"/>
      <c r="BK202" s="49"/>
      <c r="BL202" s="49"/>
      <c r="BM202" s="49"/>
      <c r="BN202" s="49"/>
      <c r="BO202" s="49"/>
      <c r="BP202" s="49"/>
      <c r="BQ202" s="49"/>
      <c r="BR202" s="49"/>
      <c r="BS202" s="49"/>
      <c r="BT202" s="49"/>
      <c r="BU202" s="49"/>
      <c r="BV202" s="49"/>
      <c r="BW202" s="49"/>
      <c r="BX202" s="49"/>
      <c r="BY202" s="49"/>
      <c r="BZ202" s="49"/>
      <c r="CA202" s="49"/>
      <c r="CB202" s="49"/>
      <c r="CC202" s="49"/>
      <c r="CD202" s="49"/>
      <c r="CE202" s="49"/>
      <c r="CF202" s="49"/>
      <c r="CG202" s="49"/>
      <c r="CH202" s="49"/>
      <c r="CI202" s="49"/>
      <c r="CJ202" s="49"/>
      <c r="CK202" s="49"/>
      <c r="CL202" s="49"/>
      <c r="CM202" s="49"/>
      <c r="CN202" s="49"/>
      <c r="CO202" s="49"/>
      <c r="CP202" s="49"/>
      <c r="CQ202" s="49"/>
      <c r="CR202" s="49"/>
      <c r="CS202" s="49"/>
      <c r="CT202" s="49"/>
      <c r="CU202" s="49"/>
      <c r="CV202" s="49"/>
      <c r="CW202" s="49"/>
      <c r="CX202" s="49"/>
      <c r="CY202" s="49"/>
      <c r="CZ202" s="49"/>
    </row>
    <row r="203" spans="2:113" ht="18" customHeight="1" x14ac:dyDescent="0.4">
      <c r="B203" s="27">
        <f t="shared" si="18"/>
        <v>192</v>
      </c>
      <c r="C203" s="28"/>
      <c r="D203" s="29"/>
      <c r="E203" s="29"/>
      <c r="F203" s="30"/>
      <c r="G203" s="31"/>
      <c r="H203" s="39"/>
      <c r="I203" s="32" t="str">
        <f t="shared" si="19"/>
        <v/>
      </c>
      <c r="J203" s="33"/>
      <c r="K203" s="33"/>
      <c r="L203" s="40"/>
      <c r="M203" s="40"/>
      <c r="N203" s="44"/>
      <c r="O203" s="36"/>
      <c r="P203" s="36"/>
      <c r="Q203" s="36"/>
      <c r="R203" s="36"/>
      <c r="S203" s="36"/>
      <c r="T203" s="38"/>
      <c r="U203" s="38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8"/>
      <c r="CZ203" s="38"/>
      <c r="DA203" s="13"/>
      <c r="DB203" s="13"/>
      <c r="DC203" s="13"/>
      <c r="DD203" s="13"/>
      <c r="DE203" s="13"/>
      <c r="DF203" s="13"/>
      <c r="DG203" s="13"/>
      <c r="DH203" s="13"/>
      <c r="DI203" s="13"/>
    </row>
    <row r="204" spans="2:113" ht="18" customHeight="1" x14ac:dyDescent="0.4">
      <c r="B204" s="27">
        <f t="shared" si="18"/>
        <v>193</v>
      </c>
      <c r="C204" s="28"/>
      <c r="D204" s="28"/>
      <c r="E204" s="29"/>
      <c r="F204" s="30"/>
      <c r="G204" s="31"/>
      <c r="H204" s="39"/>
      <c r="I204" s="32" t="str">
        <f t="shared" si="19"/>
        <v/>
      </c>
      <c r="J204" s="33"/>
      <c r="K204" s="33"/>
      <c r="L204" s="40"/>
      <c r="M204" s="40"/>
      <c r="N204" s="48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/>
      <c r="AY204" s="49"/>
      <c r="AZ204" s="49"/>
      <c r="BA204" s="49"/>
      <c r="BB204" s="49"/>
      <c r="BC204" s="49"/>
      <c r="BD204" s="49"/>
      <c r="BE204" s="49"/>
      <c r="BF204" s="49"/>
      <c r="BG204" s="49"/>
      <c r="BH204" s="49"/>
      <c r="BI204" s="49"/>
      <c r="BJ204" s="49"/>
      <c r="BK204" s="49"/>
      <c r="BL204" s="49"/>
      <c r="BM204" s="49"/>
      <c r="BN204" s="49"/>
      <c r="BO204" s="49"/>
      <c r="BP204" s="49"/>
      <c r="BQ204" s="49"/>
      <c r="BR204" s="49"/>
      <c r="BS204" s="49"/>
      <c r="BT204" s="49"/>
      <c r="BU204" s="49"/>
      <c r="BV204" s="49"/>
      <c r="BW204" s="49"/>
      <c r="BX204" s="49"/>
      <c r="BY204" s="49"/>
      <c r="BZ204" s="49"/>
      <c r="CA204" s="49"/>
      <c r="CB204" s="49"/>
      <c r="CC204" s="49"/>
      <c r="CD204" s="49"/>
      <c r="CE204" s="49"/>
      <c r="CF204" s="49"/>
      <c r="CG204" s="49"/>
      <c r="CH204" s="49"/>
      <c r="CI204" s="49"/>
      <c r="CJ204" s="49"/>
      <c r="CK204" s="49"/>
      <c r="CL204" s="49"/>
      <c r="CM204" s="49"/>
      <c r="CN204" s="49"/>
      <c r="CO204" s="49"/>
      <c r="CP204" s="49"/>
      <c r="CQ204" s="49"/>
      <c r="CR204" s="49"/>
      <c r="CS204" s="49"/>
      <c r="CT204" s="49"/>
      <c r="CU204" s="49"/>
      <c r="CV204" s="49"/>
      <c r="CW204" s="49"/>
      <c r="CX204" s="49"/>
      <c r="CY204" s="49"/>
      <c r="CZ204" s="49"/>
    </row>
    <row r="205" spans="2:113" ht="18" customHeight="1" x14ac:dyDescent="0.4">
      <c r="B205" s="27">
        <f t="shared" si="18"/>
        <v>194</v>
      </c>
      <c r="C205" s="28"/>
      <c r="D205" s="28"/>
      <c r="E205" s="29"/>
      <c r="F205" s="30"/>
      <c r="G205" s="31"/>
      <c r="H205" s="39"/>
      <c r="I205" s="32" t="str">
        <f t="shared" si="19"/>
        <v/>
      </c>
      <c r="J205" s="33"/>
      <c r="K205" s="33"/>
      <c r="L205" s="34"/>
      <c r="M205" s="34"/>
      <c r="N205" s="48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  <c r="BN205" s="49"/>
      <c r="BO205" s="49"/>
      <c r="BP205" s="49"/>
      <c r="BQ205" s="49"/>
      <c r="BR205" s="49"/>
      <c r="BS205" s="49"/>
      <c r="BT205" s="49"/>
      <c r="BU205" s="49"/>
      <c r="BV205" s="49"/>
      <c r="BW205" s="49"/>
      <c r="BX205" s="49"/>
      <c r="BY205" s="49"/>
      <c r="BZ205" s="49"/>
      <c r="CA205" s="49"/>
      <c r="CB205" s="49"/>
      <c r="CC205" s="49"/>
      <c r="CD205" s="49"/>
      <c r="CE205" s="49"/>
      <c r="CF205" s="49"/>
      <c r="CG205" s="49"/>
      <c r="CH205" s="49"/>
      <c r="CI205" s="49"/>
      <c r="CJ205" s="49"/>
      <c r="CK205" s="49"/>
      <c r="CL205" s="49"/>
      <c r="CM205" s="49"/>
      <c r="CN205" s="49"/>
      <c r="CO205" s="49"/>
      <c r="CP205" s="49"/>
      <c r="CQ205" s="49"/>
      <c r="CR205" s="49"/>
      <c r="CS205" s="49"/>
      <c r="CT205" s="49"/>
      <c r="CU205" s="49"/>
      <c r="CV205" s="49"/>
      <c r="CW205" s="49"/>
      <c r="CX205" s="49"/>
      <c r="CY205" s="49"/>
      <c r="CZ205" s="49"/>
    </row>
    <row r="206" spans="2:113" ht="18" customHeight="1" x14ac:dyDescent="0.4">
      <c r="B206" s="27">
        <f t="shared" si="18"/>
        <v>195</v>
      </c>
      <c r="C206" s="28"/>
      <c r="D206" s="28"/>
      <c r="E206" s="29"/>
      <c r="F206" s="30"/>
      <c r="G206" s="31"/>
      <c r="H206" s="45"/>
      <c r="I206" s="32" t="str">
        <f t="shared" si="19"/>
        <v/>
      </c>
      <c r="J206" s="33"/>
      <c r="K206" s="33"/>
      <c r="L206" s="46"/>
      <c r="M206" s="46"/>
      <c r="N206" s="48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 s="49"/>
      <c r="BI206" s="49"/>
      <c r="BJ206" s="49"/>
      <c r="BK206" s="49"/>
      <c r="BL206" s="49"/>
      <c r="BM206" s="49"/>
      <c r="BN206" s="49"/>
      <c r="BO206" s="49"/>
      <c r="BP206" s="49"/>
      <c r="BQ206" s="49"/>
      <c r="BR206" s="49"/>
      <c r="BS206" s="49"/>
      <c r="BT206" s="49"/>
      <c r="BU206" s="49"/>
      <c r="BV206" s="49"/>
      <c r="BW206" s="49"/>
      <c r="BX206" s="49"/>
      <c r="BY206" s="49"/>
      <c r="BZ206" s="49"/>
      <c r="CA206" s="49"/>
      <c r="CB206" s="49"/>
      <c r="CC206" s="49"/>
      <c r="CD206" s="49"/>
      <c r="CE206" s="49"/>
      <c r="CF206" s="49"/>
      <c r="CG206" s="49"/>
      <c r="CH206" s="49"/>
      <c r="CI206" s="49"/>
      <c r="CJ206" s="49"/>
      <c r="CK206" s="49"/>
      <c r="CL206" s="49"/>
      <c r="CM206" s="49"/>
      <c r="CN206" s="49"/>
      <c r="CO206" s="49"/>
      <c r="CP206" s="49"/>
      <c r="CQ206" s="49"/>
      <c r="CR206" s="49"/>
      <c r="CS206" s="49"/>
      <c r="CT206" s="49"/>
      <c r="CU206" s="49"/>
      <c r="CV206" s="49"/>
      <c r="CW206" s="49"/>
      <c r="CX206" s="49"/>
      <c r="CY206" s="49"/>
      <c r="CZ206" s="49"/>
    </row>
    <row r="207" spans="2:113" ht="18" customHeight="1" x14ac:dyDescent="0.4">
      <c r="B207" s="27">
        <f t="shared" si="18"/>
        <v>196</v>
      </c>
      <c r="C207" s="28"/>
      <c r="D207" s="28"/>
      <c r="E207" s="29"/>
      <c r="F207" s="30"/>
      <c r="G207" s="31"/>
      <c r="H207" s="45"/>
      <c r="I207" s="32" t="str">
        <f t="shared" si="19"/>
        <v/>
      </c>
      <c r="J207" s="33"/>
      <c r="K207" s="33"/>
      <c r="L207" s="46"/>
      <c r="M207" s="46"/>
      <c r="N207" s="36"/>
      <c r="O207" s="36"/>
      <c r="P207" s="36"/>
      <c r="Q207" s="36"/>
      <c r="R207" s="38"/>
      <c r="S207" s="38"/>
      <c r="T207" s="38"/>
      <c r="U207" s="38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8"/>
      <c r="CZ207" s="38"/>
      <c r="DA207" s="13"/>
      <c r="DB207" s="13"/>
      <c r="DC207" s="13"/>
      <c r="DD207" s="13"/>
      <c r="DE207" s="13"/>
      <c r="DF207" s="13"/>
      <c r="DG207" s="13"/>
      <c r="DH207" s="13"/>
      <c r="DI207" s="13"/>
    </row>
    <row r="208" spans="2:113" ht="18" customHeight="1" x14ac:dyDescent="0.4">
      <c r="B208" s="27">
        <f t="shared" si="18"/>
        <v>197</v>
      </c>
      <c r="C208" s="28"/>
      <c r="D208" s="29"/>
      <c r="E208" s="29"/>
      <c r="F208" s="30"/>
      <c r="G208" s="31"/>
      <c r="H208" s="45"/>
      <c r="I208" s="32" t="str">
        <f t="shared" si="19"/>
        <v/>
      </c>
      <c r="J208" s="33"/>
      <c r="K208" s="33"/>
      <c r="L208" s="46"/>
      <c r="M208" s="46"/>
      <c r="N208" s="36"/>
      <c r="O208" s="36"/>
      <c r="P208" s="36"/>
      <c r="Q208" s="36"/>
      <c r="R208" s="38"/>
      <c r="S208" s="38"/>
      <c r="T208" s="38"/>
      <c r="U208" s="38"/>
      <c r="V208" s="55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0"/>
      <c r="BG208" s="50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8"/>
      <c r="CZ208" s="38"/>
      <c r="DA208" s="13"/>
      <c r="DB208" s="13"/>
      <c r="DC208" s="13"/>
      <c r="DD208" s="13"/>
      <c r="DE208" s="13"/>
      <c r="DF208" s="13"/>
      <c r="DG208" s="13"/>
      <c r="DH208" s="13"/>
      <c r="DI208" s="13"/>
    </row>
    <row r="209" spans="2:113" ht="18" customHeight="1" x14ac:dyDescent="0.4">
      <c r="B209" s="27">
        <f t="shared" si="18"/>
        <v>198</v>
      </c>
      <c r="C209" s="28"/>
      <c r="D209" s="29"/>
      <c r="E209" s="29"/>
      <c r="F209" s="30"/>
      <c r="G209" s="31"/>
      <c r="H209" s="45"/>
      <c r="I209" s="32" t="str">
        <f t="shared" si="19"/>
        <v/>
      </c>
      <c r="J209" s="33"/>
      <c r="K209" s="33"/>
      <c r="L209" s="46"/>
      <c r="M209" s="46"/>
      <c r="N209" s="36"/>
      <c r="O209" s="36"/>
      <c r="P209" s="36"/>
      <c r="Q209" s="36"/>
      <c r="R209" s="38"/>
      <c r="S209" s="38"/>
      <c r="T209" s="52"/>
      <c r="U209" s="52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8"/>
      <c r="CZ209" s="38"/>
      <c r="DA209" s="13"/>
      <c r="DB209" s="13"/>
      <c r="DC209" s="13"/>
      <c r="DD209" s="13"/>
      <c r="DE209" s="13"/>
      <c r="DF209" s="13"/>
      <c r="DG209" s="13"/>
      <c r="DH209" s="13"/>
      <c r="DI209" s="13"/>
    </row>
    <row r="210" spans="2:113" ht="18" customHeight="1" x14ac:dyDescent="0.4">
      <c r="B210" s="27">
        <f t="shared" si="18"/>
        <v>199</v>
      </c>
      <c r="C210" s="28"/>
      <c r="D210" s="29"/>
      <c r="E210" s="29"/>
      <c r="F210" s="30"/>
      <c r="G210" s="31"/>
      <c r="H210" s="43"/>
      <c r="I210" s="32" t="str">
        <f t="shared" si="19"/>
        <v/>
      </c>
      <c r="J210" s="33"/>
      <c r="K210" s="33"/>
      <c r="L210" s="57"/>
      <c r="M210" s="57"/>
      <c r="N210" s="47"/>
      <c r="O210" s="36"/>
      <c r="P210" s="36"/>
      <c r="Q210" s="36"/>
      <c r="R210" s="38"/>
      <c r="S210" s="38"/>
      <c r="T210" s="38"/>
      <c r="U210" s="38"/>
      <c r="V210" s="38"/>
      <c r="W210" s="38"/>
      <c r="X210" s="38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J210" s="36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8"/>
      <c r="CZ210" s="38"/>
      <c r="DA210" s="13"/>
      <c r="DB210" s="13"/>
      <c r="DC210" s="13"/>
      <c r="DD210" s="13"/>
      <c r="DE210" s="13"/>
      <c r="DF210" s="13"/>
      <c r="DG210" s="13"/>
      <c r="DH210" s="13"/>
      <c r="DI210" s="13"/>
    </row>
    <row r="211" spans="2:113" ht="18" customHeight="1" x14ac:dyDescent="0.4">
      <c r="B211" s="27">
        <f t="shared" si="18"/>
        <v>200</v>
      </c>
      <c r="C211" s="28"/>
      <c r="D211" s="29"/>
      <c r="E211" s="29"/>
      <c r="F211" s="30"/>
      <c r="G211" s="31"/>
      <c r="H211" s="45"/>
      <c r="I211" s="32" t="str">
        <f t="shared" si="19"/>
        <v/>
      </c>
      <c r="J211" s="33"/>
      <c r="K211" s="33"/>
      <c r="L211" s="46"/>
      <c r="M211" s="46"/>
      <c r="N211" s="48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  <c r="AX211" s="49"/>
      <c r="AY211" s="49"/>
      <c r="AZ211" s="49"/>
      <c r="BA211" s="49"/>
      <c r="BB211" s="49"/>
      <c r="BC211" s="49"/>
      <c r="BD211" s="49"/>
      <c r="BE211" s="49"/>
      <c r="BF211" s="49"/>
      <c r="BG211" s="49"/>
      <c r="BH211" s="49"/>
      <c r="BI211" s="49"/>
      <c r="BJ211" s="49"/>
      <c r="BK211" s="49"/>
      <c r="BL211" s="49"/>
      <c r="BM211" s="49"/>
      <c r="BN211" s="49"/>
      <c r="BO211" s="49"/>
      <c r="BP211" s="49"/>
      <c r="BQ211" s="49"/>
      <c r="BR211" s="49"/>
      <c r="BS211" s="49"/>
      <c r="BT211" s="49"/>
      <c r="BU211" s="49"/>
      <c r="BV211" s="49"/>
      <c r="BW211" s="49"/>
      <c r="BX211" s="49"/>
      <c r="BY211" s="49"/>
      <c r="BZ211" s="49"/>
      <c r="CA211" s="49"/>
      <c r="CB211" s="49"/>
      <c r="CC211" s="49"/>
      <c r="CD211" s="49"/>
      <c r="CE211" s="49"/>
      <c r="CF211" s="49"/>
      <c r="CG211" s="49"/>
      <c r="CH211" s="49"/>
      <c r="CI211" s="49"/>
      <c r="CJ211" s="49"/>
      <c r="CK211" s="49"/>
      <c r="CL211" s="49"/>
      <c r="CM211" s="49"/>
      <c r="CN211" s="49"/>
      <c r="CO211" s="49"/>
      <c r="CP211" s="49"/>
      <c r="CQ211" s="49"/>
      <c r="CR211" s="49"/>
      <c r="CS211" s="49"/>
      <c r="CT211" s="49"/>
      <c r="CU211" s="49"/>
      <c r="CV211" s="49"/>
      <c r="CW211" s="49"/>
      <c r="CX211" s="49"/>
      <c r="CY211" s="49"/>
      <c r="CZ211" s="49"/>
    </row>
    <row r="212" spans="2:113" ht="18" customHeight="1" x14ac:dyDescent="0.4">
      <c r="B212" s="27">
        <f>ROW()-11</f>
        <v>201</v>
      </c>
      <c r="C212" s="28"/>
      <c r="D212" s="28"/>
      <c r="E212" s="29"/>
      <c r="F212" s="30"/>
      <c r="G212" s="31"/>
      <c r="H212" s="31"/>
      <c r="I212" s="32" t="str">
        <f t="shared" si="19"/>
        <v/>
      </c>
      <c r="J212" s="33"/>
      <c r="K212" s="33"/>
      <c r="L212" s="34"/>
      <c r="M212" s="34"/>
      <c r="N212" s="35"/>
      <c r="O212" s="35"/>
      <c r="P212" s="35"/>
      <c r="Q212" s="35"/>
      <c r="R212" s="36"/>
      <c r="S212" s="36"/>
      <c r="T212" s="36"/>
      <c r="U212" s="36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8"/>
      <c r="CZ212" s="38"/>
      <c r="DA212" s="13"/>
      <c r="DB212" s="13"/>
      <c r="DC212" s="13"/>
      <c r="DD212" s="13"/>
      <c r="DE212" s="13"/>
      <c r="DF212" s="13"/>
      <c r="DG212" s="13"/>
      <c r="DH212" s="13"/>
      <c r="DI212" s="13"/>
    </row>
    <row r="213" spans="2:113" ht="18" customHeight="1" x14ac:dyDescent="0.4">
      <c r="B213" s="27">
        <f t="shared" ref="B213:B261" si="20">ROW()-11</f>
        <v>202</v>
      </c>
      <c r="C213" s="28"/>
      <c r="D213" s="28"/>
      <c r="E213" s="29"/>
      <c r="F213" s="30"/>
      <c r="G213" s="31"/>
      <c r="H213" s="39"/>
      <c r="I213" s="32" t="str">
        <f t="shared" si="19"/>
        <v/>
      </c>
      <c r="J213" s="33"/>
      <c r="K213" s="33"/>
      <c r="L213" s="40"/>
      <c r="M213" s="40"/>
      <c r="N213" s="36"/>
      <c r="O213" s="41"/>
      <c r="P213" s="41"/>
      <c r="Q213" s="41"/>
      <c r="R213" s="38"/>
      <c r="S213" s="38"/>
      <c r="T213" s="38"/>
      <c r="U213" s="38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8"/>
      <c r="CZ213" s="38"/>
      <c r="DA213" s="13"/>
      <c r="DB213" s="13"/>
      <c r="DC213" s="13"/>
      <c r="DD213" s="13"/>
      <c r="DE213" s="13"/>
      <c r="DF213" s="13"/>
      <c r="DG213" s="13"/>
      <c r="DH213" s="13"/>
      <c r="DI213" s="13"/>
    </row>
    <row r="214" spans="2:113" ht="18" customHeight="1" x14ac:dyDescent="0.4">
      <c r="B214" s="27">
        <f t="shared" si="20"/>
        <v>203</v>
      </c>
      <c r="C214" s="28"/>
      <c r="D214" s="28"/>
      <c r="E214" s="29"/>
      <c r="F214" s="30"/>
      <c r="G214" s="31"/>
      <c r="H214" s="43"/>
      <c r="I214" s="32" t="str">
        <f t="shared" si="19"/>
        <v/>
      </c>
      <c r="J214" s="33"/>
      <c r="K214" s="33"/>
      <c r="L214" s="40"/>
      <c r="M214" s="40"/>
      <c r="N214" s="44"/>
      <c r="O214" s="36"/>
      <c r="P214" s="36"/>
      <c r="Q214" s="36"/>
      <c r="R214" s="38"/>
      <c r="S214" s="38"/>
      <c r="T214" s="38"/>
      <c r="U214" s="38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8"/>
      <c r="CZ214" s="38"/>
      <c r="DA214" s="13"/>
      <c r="DB214" s="13"/>
      <c r="DC214" s="13"/>
      <c r="DD214" s="13"/>
      <c r="DE214" s="13"/>
      <c r="DF214" s="13"/>
      <c r="DG214" s="13"/>
      <c r="DH214" s="13"/>
      <c r="DI214" s="13"/>
    </row>
    <row r="215" spans="2:113" ht="18" customHeight="1" x14ac:dyDescent="0.4">
      <c r="B215" s="27">
        <f t="shared" si="20"/>
        <v>204</v>
      </c>
      <c r="C215" s="28"/>
      <c r="D215" s="29"/>
      <c r="E215" s="29"/>
      <c r="F215" s="30"/>
      <c r="G215" s="31"/>
      <c r="H215" s="45"/>
      <c r="I215" s="32" t="str">
        <f t="shared" si="19"/>
        <v/>
      </c>
      <c r="J215" s="33"/>
      <c r="K215" s="33"/>
      <c r="L215" s="46"/>
      <c r="M215" s="46"/>
      <c r="N215" s="44"/>
      <c r="O215" s="36"/>
      <c r="P215" s="36"/>
      <c r="Q215" s="36"/>
      <c r="R215" s="38"/>
      <c r="S215" s="38"/>
      <c r="T215" s="38"/>
      <c r="U215" s="38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8"/>
      <c r="CZ215" s="38"/>
      <c r="DA215" s="13"/>
      <c r="DB215" s="13"/>
      <c r="DC215" s="13"/>
      <c r="DD215" s="13"/>
      <c r="DE215" s="13"/>
      <c r="DF215" s="13"/>
      <c r="DG215" s="13"/>
      <c r="DH215" s="13"/>
      <c r="DI215" s="13"/>
    </row>
    <row r="216" spans="2:113" ht="18" customHeight="1" x14ac:dyDescent="0.4">
      <c r="B216" s="27">
        <f t="shared" si="20"/>
        <v>205</v>
      </c>
      <c r="C216" s="28"/>
      <c r="D216" s="28"/>
      <c r="E216" s="29"/>
      <c r="F216" s="30"/>
      <c r="G216" s="31"/>
      <c r="H216" s="39"/>
      <c r="I216" s="32" t="str">
        <f t="shared" si="19"/>
        <v/>
      </c>
      <c r="J216" s="33"/>
      <c r="K216" s="33"/>
      <c r="L216" s="34"/>
      <c r="M216" s="34"/>
      <c r="N216" s="47"/>
      <c r="O216" s="36"/>
      <c r="P216" s="36"/>
      <c r="Q216" s="36"/>
      <c r="R216" s="38"/>
      <c r="S216" s="38"/>
      <c r="T216" s="38"/>
      <c r="U216" s="38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8"/>
      <c r="CZ216" s="38"/>
      <c r="DA216" s="13"/>
      <c r="DB216" s="13"/>
      <c r="DC216" s="13"/>
      <c r="DD216" s="13"/>
      <c r="DE216" s="13"/>
      <c r="DF216" s="13"/>
      <c r="DG216" s="13"/>
      <c r="DH216" s="13"/>
      <c r="DI216" s="13"/>
    </row>
    <row r="217" spans="2:113" ht="18" customHeight="1" x14ac:dyDescent="0.4">
      <c r="B217" s="27">
        <f t="shared" si="20"/>
        <v>206</v>
      </c>
      <c r="C217" s="28"/>
      <c r="D217" s="28"/>
      <c r="E217" s="29"/>
      <c r="F217" s="30"/>
      <c r="G217" s="31"/>
      <c r="H217" s="43"/>
      <c r="I217" s="32" t="str">
        <f t="shared" si="19"/>
        <v/>
      </c>
      <c r="J217" s="33"/>
      <c r="K217" s="33"/>
      <c r="L217" s="40"/>
      <c r="M217" s="40"/>
      <c r="N217" s="48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 s="49"/>
      <c r="BI217" s="49"/>
      <c r="BJ217" s="49"/>
      <c r="BK217" s="49"/>
      <c r="BL217" s="49"/>
      <c r="BM217" s="49"/>
      <c r="BN217" s="49"/>
      <c r="BO217" s="49"/>
      <c r="BP217" s="49"/>
      <c r="BQ217" s="49"/>
      <c r="BR217" s="49"/>
      <c r="BS217" s="49"/>
      <c r="BT217" s="49"/>
      <c r="BU217" s="49"/>
      <c r="BV217" s="49"/>
      <c r="BW217" s="49"/>
      <c r="BX217" s="49"/>
      <c r="BY217" s="49"/>
      <c r="BZ217" s="49"/>
      <c r="CA217" s="49"/>
      <c r="CB217" s="49"/>
      <c r="CC217" s="49"/>
      <c r="CD217" s="49"/>
      <c r="CE217" s="49"/>
      <c r="CF217" s="49"/>
      <c r="CG217" s="49"/>
      <c r="CH217" s="49"/>
      <c r="CI217" s="49"/>
      <c r="CJ217" s="49"/>
      <c r="CK217" s="49"/>
      <c r="CL217" s="49"/>
      <c r="CM217" s="49"/>
      <c r="CN217" s="49"/>
      <c r="CO217" s="49"/>
      <c r="CP217" s="49"/>
      <c r="CQ217" s="49"/>
      <c r="CR217" s="49"/>
      <c r="CS217" s="49"/>
      <c r="CT217" s="49"/>
      <c r="CU217" s="49"/>
      <c r="CV217" s="49"/>
      <c r="CW217" s="49"/>
      <c r="CX217" s="49"/>
      <c r="CY217" s="49"/>
      <c r="CZ217" s="49"/>
    </row>
    <row r="218" spans="2:113" ht="18" customHeight="1" x14ac:dyDescent="0.4">
      <c r="B218" s="27">
        <f t="shared" si="20"/>
        <v>207</v>
      </c>
      <c r="C218" s="28"/>
      <c r="D218" s="29"/>
      <c r="E218" s="29"/>
      <c r="F218" s="30"/>
      <c r="G218" s="31"/>
      <c r="H218" s="43"/>
      <c r="I218" s="32" t="str">
        <f t="shared" si="19"/>
        <v/>
      </c>
      <c r="J218" s="33"/>
      <c r="K218" s="33"/>
      <c r="L218" s="40"/>
      <c r="M218" s="40"/>
      <c r="N218" s="48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 s="49"/>
      <c r="BI218" s="49"/>
      <c r="BJ218" s="49"/>
      <c r="BK218" s="49"/>
      <c r="BL218" s="49"/>
      <c r="BM218" s="49"/>
      <c r="BN218" s="49"/>
      <c r="BO218" s="49"/>
      <c r="BP218" s="49"/>
      <c r="BQ218" s="49"/>
      <c r="BR218" s="49"/>
      <c r="BS218" s="49"/>
      <c r="BT218" s="49"/>
      <c r="BU218" s="49"/>
      <c r="BV218" s="49"/>
      <c r="BW218" s="49"/>
      <c r="BX218" s="49"/>
      <c r="BY218" s="49"/>
      <c r="BZ218" s="49"/>
      <c r="CA218" s="49"/>
      <c r="CB218" s="49"/>
      <c r="CC218" s="49"/>
      <c r="CD218" s="49"/>
      <c r="CE218" s="49"/>
      <c r="CF218" s="49"/>
      <c r="CG218" s="49"/>
      <c r="CH218" s="49"/>
      <c r="CI218" s="49"/>
      <c r="CJ218" s="49"/>
      <c r="CK218" s="49"/>
      <c r="CL218" s="49"/>
      <c r="CM218" s="49"/>
      <c r="CN218" s="49"/>
      <c r="CO218" s="49"/>
      <c r="CP218" s="49"/>
      <c r="CQ218" s="49"/>
      <c r="CR218" s="49"/>
      <c r="CS218" s="49"/>
      <c r="CT218" s="49"/>
      <c r="CU218" s="49"/>
      <c r="CV218" s="49"/>
      <c r="CW218" s="49"/>
      <c r="CX218" s="49"/>
      <c r="CY218" s="49"/>
      <c r="CZ218" s="49"/>
    </row>
    <row r="219" spans="2:113" ht="18" customHeight="1" x14ac:dyDescent="0.4">
      <c r="B219" s="27">
        <f t="shared" si="20"/>
        <v>208</v>
      </c>
      <c r="C219" s="28"/>
      <c r="D219" s="29"/>
      <c r="E219" s="29"/>
      <c r="F219" s="30"/>
      <c r="G219" s="31"/>
      <c r="H219" s="39"/>
      <c r="I219" s="32" t="str">
        <f t="shared" si="19"/>
        <v/>
      </c>
      <c r="J219" s="33"/>
      <c r="K219" s="33"/>
      <c r="L219" s="40"/>
      <c r="M219" s="40"/>
      <c r="N219" s="36"/>
      <c r="O219" s="36"/>
      <c r="P219" s="36"/>
      <c r="Q219" s="36"/>
      <c r="R219" s="38"/>
      <c r="S219" s="38"/>
      <c r="T219" s="38"/>
      <c r="U219" s="38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8"/>
      <c r="CZ219" s="38"/>
      <c r="DA219" s="13"/>
      <c r="DB219" s="13"/>
      <c r="DC219" s="13"/>
      <c r="DD219" s="13"/>
      <c r="DE219" s="13"/>
      <c r="DF219" s="13"/>
      <c r="DG219" s="13"/>
      <c r="DH219" s="13"/>
      <c r="DI219" s="13"/>
    </row>
    <row r="220" spans="2:113" ht="18" customHeight="1" x14ac:dyDescent="0.4">
      <c r="B220" s="27">
        <f t="shared" si="20"/>
        <v>209</v>
      </c>
      <c r="C220" s="28"/>
      <c r="D220" s="29"/>
      <c r="E220" s="29"/>
      <c r="F220" s="30"/>
      <c r="G220" s="31"/>
      <c r="H220" s="43"/>
      <c r="I220" s="32" t="str">
        <f t="shared" si="19"/>
        <v/>
      </c>
      <c r="J220" s="33"/>
      <c r="K220" s="33"/>
      <c r="L220" s="40"/>
      <c r="M220" s="40"/>
      <c r="N220" s="44"/>
      <c r="O220" s="36"/>
      <c r="P220" s="36"/>
      <c r="Q220" s="36"/>
      <c r="R220" s="36"/>
      <c r="S220" s="36"/>
      <c r="T220" s="38"/>
      <c r="U220" s="38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8"/>
      <c r="CZ220" s="38"/>
      <c r="DA220" s="13"/>
      <c r="DB220" s="13"/>
      <c r="DC220" s="13"/>
      <c r="DD220" s="13"/>
      <c r="DE220" s="13"/>
      <c r="DF220" s="13"/>
      <c r="DG220" s="13"/>
      <c r="DH220" s="13"/>
      <c r="DI220" s="13"/>
    </row>
    <row r="221" spans="2:113" ht="18" customHeight="1" x14ac:dyDescent="0.4">
      <c r="B221" s="27">
        <f t="shared" si="20"/>
        <v>210</v>
      </c>
      <c r="C221" s="28"/>
      <c r="D221" s="28"/>
      <c r="E221" s="29"/>
      <c r="F221" s="30"/>
      <c r="G221" s="31"/>
      <c r="H221" s="39"/>
      <c r="I221" s="32" t="str">
        <f t="shared" si="19"/>
        <v/>
      </c>
      <c r="J221" s="33"/>
      <c r="K221" s="33"/>
      <c r="L221" s="40"/>
      <c r="M221" s="40"/>
      <c r="N221" s="41"/>
      <c r="O221" s="36"/>
      <c r="P221" s="36"/>
      <c r="Q221" s="41"/>
      <c r="R221" s="38"/>
      <c r="S221" s="38"/>
      <c r="T221" s="38"/>
      <c r="U221" s="38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8"/>
      <c r="CZ221" s="38"/>
      <c r="DA221" s="13"/>
      <c r="DB221" s="13"/>
      <c r="DC221" s="13"/>
      <c r="DD221" s="13"/>
      <c r="DE221" s="13"/>
      <c r="DF221" s="13"/>
      <c r="DG221" s="13"/>
      <c r="DH221" s="13"/>
      <c r="DI221" s="13"/>
    </row>
    <row r="222" spans="2:113" ht="18" customHeight="1" x14ac:dyDescent="0.4">
      <c r="B222" s="27">
        <f t="shared" si="20"/>
        <v>211</v>
      </c>
      <c r="C222" s="28"/>
      <c r="D222" s="28"/>
      <c r="E222" s="29"/>
      <c r="F222" s="30"/>
      <c r="G222" s="31"/>
      <c r="H222" s="39"/>
      <c r="I222" s="32" t="str">
        <f t="shared" si="19"/>
        <v/>
      </c>
      <c r="J222" s="33"/>
      <c r="K222" s="33"/>
      <c r="L222" s="40"/>
      <c r="M222" s="40"/>
      <c r="N222" s="36"/>
      <c r="O222" s="36"/>
      <c r="P222" s="36"/>
      <c r="Q222" s="36"/>
      <c r="R222" s="38"/>
      <c r="S222" s="38"/>
      <c r="T222" s="38"/>
      <c r="U222" s="38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6"/>
      <c r="BG222" s="36"/>
      <c r="BH222" s="36"/>
      <c r="BI222" s="36"/>
      <c r="BJ222" s="50"/>
      <c r="BK222" s="50"/>
      <c r="BL222" s="50"/>
      <c r="BM222" s="50"/>
      <c r="BN222" s="50"/>
      <c r="BO222" s="36"/>
      <c r="BP222" s="36"/>
      <c r="BQ222" s="39"/>
      <c r="BR222" s="39"/>
      <c r="BS222" s="39"/>
      <c r="BT222" s="39"/>
      <c r="BU222" s="39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8"/>
      <c r="CZ222" s="38"/>
      <c r="DA222" s="13"/>
      <c r="DB222" s="13"/>
      <c r="DC222" s="13"/>
      <c r="DD222" s="13"/>
      <c r="DE222" s="13"/>
      <c r="DF222" s="13"/>
      <c r="DG222" s="13"/>
      <c r="DH222" s="13"/>
      <c r="DI222" s="13"/>
    </row>
    <row r="223" spans="2:113" ht="18" customHeight="1" x14ac:dyDescent="0.4">
      <c r="B223" s="27">
        <f t="shared" si="20"/>
        <v>212</v>
      </c>
      <c r="C223" s="28"/>
      <c r="D223" s="28"/>
      <c r="E223" s="29"/>
      <c r="F223" s="30"/>
      <c r="G223" s="31"/>
      <c r="H223" s="43"/>
      <c r="I223" s="32" t="str">
        <f t="shared" si="19"/>
        <v/>
      </c>
      <c r="J223" s="33"/>
      <c r="K223" s="33"/>
      <c r="L223" s="40"/>
      <c r="M223" s="40"/>
      <c r="N223" s="47"/>
      <c r="O223" s="36"/>
      <c r="P223" s="36"/>
      <c r="Q223" s="36"/>
      <c r="R223" s="38"/>
      <c r="S223" s="38"/>
      <c r="T223" s="38"/>
      <c r="U223" s="38"/>
      <c r="V223" s="42"/>
      <c r="W223" s="42"/>
      <c r="X223" s="42"/>
      <c r="Y223" s="42"/>
      <c r="Z223" s="42"/>
      <c r="AA223" s="37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8"/>
      <c r="CZ223" s="38"/>
      <c r="DA223" s="13"/>
      <c r="DB223" s="13"/>
      <c r="DC223" s="13"/>
      <c r="DD223" s="13"/>
      <c r="DE223" s="13"/>
      <c r="DF223" s="13"/>
      <c r="DG223" s="13"/>
      <c r="DH223" s="13"/>
      <c r="DI223" s="13"/>
    </row>
    <row r="224" spans="2:113" ht="18" customHeight="1" x14ac:dyDescent="0.4">
      <c r="B224" s="27">
        <f t="shared" si="20"/>
        <v>213</v>
      </c>
      <c r="C224" s="28"/>
      <c r="D224" s="29"/>
      <c r="E224" s="29"/>
      <c r="F224" s="30"/>
      <c r="G224" s="31"/>
      <c r="H224" s="39"/>
      <c r="I224" s="32" t="str">
        <f t="shared" si="19"/>
        <v/>
      </c>
      <c r="J224" s="33"/>
      <c r="K224" s="33"/>
      <c r="L224" s="40"/>
      <c r="M224" s="40"/>
      <c r="N224" s="44"/>
      <c r="O224" s="36"/>
      <c r="P224" s="36"/>
      <c r="Q224" s="36"/>
      <c r="R224" s="36"/>
      <c r="S224" s="36"/>
      <c r="T224" s="38"/>
      <c r="U224" s="38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8"/>
      <c r="CZ224" s="38"/>
      <c r="DA224" s="13"/>
      <c r="DB224" s="13"/>
      <c r="DC224" s="13"/>
      <c r="DD224" s="13"/>
      <c r="DE224" s="13"/>
      <c r="DF224" s="13"/>
      <c r="DG224" s="13"/>
      <c r="DH224" s="13"/>
      <c r="DI224" s="13"/>
    </row>
    <row r="225" spans="2:113" ht="18" customHeight="1" x14ac:dyDescent="0.4">
      <c r="B225" s="27">
        <f t="shared" si="20"/>
        <v>214</v>
      </c>
      <c r="C225" s="28"/>
      <c r="D225" s="51"/>
      <c r="E225" s="29"/>
      <c r="F225" s="30"/>
      <c r="G225" s="31"/>
      <c r="H225" s="39"/>
      <c r="I225" s="32" t="str">
        <f t="shared" si="19"/>
        <v/>
      </c>
      <c r="J225" s="33"/>
      <c r="K225" s="33"/>
      <c r="L225" s="34"/>
      <c r="M225" s="34"/>
      <c r="N225" s="48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  <c r="BF225" s="49"/>
      <c r="BG225" s="49"/>
      <c r="BH225" s="49"/>
      <c r="BI225" s="49"/>
      <c r="BJ225" s="49"/>
      <c r="BK225" s="49"/>
      <c r="BL225" s="49"/>
      <c r="BM225" s="49"/>
      <c r="BN225" s="49"/>
      <c r="BO225" s="49"/>
      <c r="BP225" s="49"/>
      <c r="BQ225" s="49"/>
      <c r="BR225" s="49"/>
      <c r="BS225" s="49"/>
      <c r="BT225" s="49"/>
      <c r="BU225" s="49"/>
      <c r="BV225" s="49"/>
      <c r="BW225" s="49"/>
      <c r="BX225" s="49"/>
      <c r="BY225" s="49"/>
      <c r="BZ225" s="49"/>
      <c r="CA225" s="49"/>
      <c r="CB225" s="49"/>
      <c r="CC225" s="49"/>
      <c r="CD225" s="49"/>
      <c r="CE225" s="49"/>
      <c r="CF225" s="49"/>
      <c r="CG225" s="49"/>
      <c r="CH225" s="49"/>
      <c r="CI225" s="49"/>
      <c r="CJ225" s="49"/>
      <c r="CK225" s="49"/>
      <c r="CL225" s="49"/>
      <c r="CM225" s="49"/>
      <c r="CN225" s="49"/>
      <c r="CO225" s="49"/>
      <c r="CP225" s="49"/>
      <c r="CQ225" s="49"/>
      <c r="CR225" s="49"/>
      <c r="CS225" s="49"/>
      <c r="CT225" s="49"/>
      <c r="CU225" s="49"/>
      <c r="CV225" s="49"/>
      <c r="CW225" s="49"/>
      <c r="CX225" s="49"/>
      <c r="CY225" s="49"/>
      <c r="CZ225" s="49"/>
    </row>
    <row r="226" spans="2:113" ht="18" customHeight="1" x14ac:dyDescent="0.4">
      <c r="B226" s="27">
        <f t="shared" si="20"/>
        <v>215</v>
      </c>
      <c r="C226" s="28"/>
      <c r="D226" s="29"/>
      <c r="E226" s="29"/>
      <c r="F226" s="30"/>
      <c r="G226" s="31"/>
      <c r="H226" s="39"/>
      <c r="I226" s="32" t="str">
        <f t="shared" si="19"/>
        <v/>
      </c>
      <c r="J226" s="33"/>
      <c r="K226" s="33"/>
      <c r="L226" s="34"/>
      <c r="M226" s="34"/>
      <c r="N226" s="36"/>
      <c r="O226" s="36"/>
      <c r="P226" s="36"/>
      <c r="Q226" s="36"/>
      <c r="R226" s="38"/>
      <c r="S226" s="38"/>
      <c r="T226" s="36"/>
      <c r="U226" s="36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8"/>
      <c r="CZ226" s="38"/>
      <c r="DA226" s="13"/>
      <c r="DB226" s="13"/>
      <c r="DC226" s="13"/>
      <c r="DD226" s="13"/>
      <c r="DE226" s="13"/>
      <c r="DF226" s="13"/>
      <c r="DG226" s="13"/>
      <c r="DH226" s="13"/>
      <c r="DI226" s="13"/>
    </row>
    <row r="227" spans="2:113" ht="18" customHeight="1" x14ac:dyDescent="0.4">
      <c r="B227" s="27">
        <f t="shared" si="20"/>
        <v>216</v>
      </c>
      <c r="C227" s="28"/>
      <c r="D227" s="29"/>
      <c r="E227" s="29"/>
      <c r="F227" s="30"/>
      <c r="G227" s="31"/>
      <c r="H227" s="39"/>
      <c r="I227" s="32" t="str">
        <f t="shared" si="19"/>
        <v/>
      </c>
      <c r="J227" s="33"/>
      <c r="K227" s="33"/>
      <c r="L227" s="34"/>
      <c r="M227" s="34"/>
      <c r="N227" s="44"/>
      <c r="O227" s="36"/>
      <c r="P227" s="36"/>
      <c r="Q227" s="36"/>
      <c r="R227" s="38"/>
      <c r="S227" s="38"/>
      <c r="T227" s="38"/>
      <c r="U227" s="38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8"/>
      <c r="CZ227" s="38"/>
      <c r="DA227" s="13"/>
      <c r="DB227" s="13"/>
      <c r="DC227" s="13"/>
      <c r="DD227" s="13"/>
      <c r="DE227" s="13"/>
      <c r="DF227" s="13"/>
      <c r="DG227" s="13"/>
      <c r="DH227" s="13"/>
      <c r="DI227" s="13"/>
    </row>
    <row r="228" spans="2:113" ht="18" customHeight="1" x14ac:dyDescent="0.4">
      <c r="B228" s="27">
        <f t="shared" si="20"/>
        <v>217</v>
      </c>
      <c r="C228" s="28"/>
      <c r="D228" s="29"/>
      <c r="E228" s="29"/>
      <c r="F228" s="30"/>
      <c r="G228" s="31"/>
      <c r="H228" s="43"/>
      <c r="I228" s="32" t="str">
        <f t="shared" si="19"/>
        <v/>
      </c>
      <c r="J228" s="33"/>
      <c r="K228" s="33"/>
      <c r="L228" s="34"/>
      <c r="M228" s="34"/>
      <c r="N228" s="44"/>
      <c r="O228" s="36"/>
      <c r="P228" s="36"/>
      <c r="Q228" s="36"/>
      <c r="R228" s="36"/>
      <c r="S228" s="36"/>
      <c r="T228" s="38"/>
      <c r="U228" s="38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8"/>
      <c r="CZ228" s="38"/>
      <c r="DA228" s="13"/>
      <c r="DB228" s="13"/>
      <c r="DC228" s="13"/>
      <c r="DD228" s="13"/>
      <c r="DE228" s="13"/>
      <c r="DF228" s="13"/>
      <c r="DG228" s="13"/>
      <c r="DH228" s="13"/>
      <c r="DI228" s="13"/>
    </row>
    <row r="229" spans="2:113" ht="18" customHeight="1" x14ac:dyDescent="0.4">
      <c r="B229" s="27">
        <f t="shared" si="20"/>
        <v>218</v>
      </c>
      <c r="C229" s="28"/>
      <c r="D229" s="29"/>
      <c r="E229" s="29"/>
      <c r="F229" s="30"/>
      <c r="G229" s="31"/>
      <c r="H229" s="39"/>
      <c r="I229" s="32" t="str">
        <f t="shared" si="19"/>
        <v/>
      </c>
      <c r="J229" s="33"/>
      <c r="K229" s="33"/>
      <c r="L229" s="40"/>
      <c r="M229" s="40"/>
      <c r="N229" s="44"/>
      <c r="O229" s="36"/>
      <c r="P229" s="36"/>
      <c r="Q229" s="36"/>
      <c r="R229" s="36"/>
      <c r="S229" s="36"/>
      <c r="T229" s="38"/>
      <c r="U229" s="38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8"/>
      <c r="CZ229" s="38"/>
      <c r="DA229" s="13"/>
      <c r="DB229" s="13"/>
      <c r="DC229" s="13"/>
      <c r="DD229" s="13"/>
      <c r="DE229" s="13"/>
      <c r="DF229" s="13"/>
      <c r="DG229" s="13"/>
      <c r="DH229" s="13"/>
      <c r="DI229" s="13"/>
    </row>
    <row r="230" spans="2:113" ht="18" customHeight="1" x14ac:dyDescent="0.4">
      <c r="B230" s="27">
        <f t="shared" si="20"/>
        <v>219</v>
      </c>
      <c r="C230" s="28"/>
      <c r="D230" s="29"/>
      <c r="E230" s="29"/>
      <c r="F230" s="30"/>
      <c r="G230" s="31"/>
      <c r="H230" s="39"/>
      <c r="I230" s="32" t="str">
        <f t="shared" si="19"/>
        <v/>
      </c>
      <c r="J230" s="33"/>
      <c r="K230" s="33"/>
      <c r="L230" s="34"/>
      <c r="M230" s="34"/>
      <c r="N230" s="36"/>
      <c r="O230" s="36"/>
      <c r="P230" s="36"/>
      <c r="Q230" s="36"/>
      <c r="R230" s="38"/>
      <c r="S230" s="38"/>
      <c r="T230" s="36"/>
      <c r="U230" s="36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8"/>
      <c r="CZ230" s="38"/>
      <c r="DA230" s="13"/>
      <c r="DB230" s="13"/>
      <c r="DC230" s="13"/>
      <c r="DD230" s="13"/>
      <c r="DE230" s="13"/>
      <c r="DF230" s="13"/>
      <c r="DG230" s="13"/>
      <c r="DH230" s="13"/>
      <c r="DI230" s="13"/>
    </row>
    <row r="231" spans="2:113" ht="18" customHeight="1" x14ac:dyDescent="0.4">
      <c r="B231" s="27">
        <f t="shared" si="20"/>
        <v>220</v>
      </c>
      <c r="C231" s="28"/>
      <c r="D231" s="28"/>
      <c r="E231" s="29"/>
      <c r="F231" s="30"/>
      <c r="G231" s="31"/>
      <c r="H231" s="39"/>
      <c r="I231" s="32" t="str">
        <f t="shared" si="19"/>
        <v/>
      </c>
      <c r="J231" s="33"/>
      <c r="K231" s="33"/>
      <c r="L231" s="40"/>
      <c r="M231" s="40"/>
      <c r="N231" s="36"/>
      <c r="O231" s="36"/>
      <c r="P231" s="36"/>
      <c r="Q231" s="36"/>
      <c r="R231" s="38"/>
      <c r="S231" s="38"/>
      <c r="T231" s="36"/>
      <c r="U231" s="36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8"/>
      <c r="CZ231" s="38"/>
      <c r="DA231" s="13"/>
      <c r="DB231" s="13"/>
      <c r="DC231" s="13"/>
      <c r="DD231" s="13"/>
      <c r="DE231" s="13"/>
      <c r="DF231" s="13"/>
      <c r="DG231" s="13"/>
      <c r="DH231" s="13"/>
      <c r="DI231" s="13"/>
    </row>
    <row r="232" spans="2:113" ht="18" customHeight="1" x14ac:dyDescent="0.4">
      <c r="B232" s="27">
        <f t="shared" si="20"/>
        <v>221</v>
      </c>
      <c r="C232" s="28"/>
      <c r="D232" s="29"/>
      <c r="E232" s="29"/>
      <c r="F232" s="30"/>
      <c r="G232" s="31"/>
      <c r="H232" s="39"/>
      <c r="I232" s="32" t="str">
        <f t="shared" si="19"/>
        <v/>
      </c>
      <c r="J232" s="33"/>
      <c r="K232" s="33"/>
      <c r="L232" s="40"/>
      <c r="M232" s="40"/>
      <c r="N232" s="36"/>
      <c r="O232" s="36"/>
      <c r="P232" s="36"/>
      <c r="Q232" s="36"/>
      <c r="R232" s="38"/>
      <c r="S232" s="38"/>
      <c r="T232" s="36"/>
      <c r="U232" s="36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8"/>
      <c r="CZ232" s="38"/>
      <c r="DA232" s="13"/>
      <c r="DB232" s="13"/>
      <c r="DC232" s="13"/>
      <c r="DD232" s="13"/>
      <c r="DE232" s="13"/>
      <c r="DF232" s="13"/>
      <c r="DG232" s="13"/>
      <c r="DH232" s="13"/>
      <c r="DI232" s="13"/>
    </row>
    <row r="233" spans="2:113" ht="18" customHeight="1" x14ac:dyDescent="0.4">
      <c r="B233" s="27">
        <f t="shared" si="20"/>
        <v>222</v>
      </c>
      <c r="C233" s="28"/>
      <c r="D233" s="29"/>
      <c r="E233" s="29"/>
      <c r="F233" s="30"/>
      <c r="G233" s="31"/>
      <c r="H233" s="39"/>
      <c r="I233" s="32" t="str">
        <f t="shared" si="19"/>
        <v/>
      </c>
      <c r="J233" s="33"/>
      <c r="K233" s="33"/>
      <c r="L233" s="40"/>
      <c r="M233" s="40"/>
      <c r="N233" s="36"/>
      <c r="O233" s="36"/>
      <c r="P233" s="36"/>
      <c r="Q233" s="36"/>
      <c r="R233" s="38"/>
      <c r="S233" s="38"/>
      <c r="T233" s="36"/>
      <c r="U233" s="36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8"/>
      <c r="CZ233" s="38"/>
      <c r="DA233" s="13"/>
      <c r="DB233" s="13"/>
      <c r="DC233" s="13"/>
      <c r="DD233" s="13"/>
      <c r="DE233" s="13"/>
      <c r="DF233" s="13"/>
      <c r="DG233" s="13"/>
      <c r="DH233" s="13"/>
      <c r="DI233" s="13"/>
    </row>
    <row r="234" spans="2:113" ht="18" customHeight="1" x14ac:dyDescent="0.4">
      <c r="B234" s="27">
        <f t="shared" si="20"/>
        <v>223</v>
      </c>
      <c r="C234" s="28"/>
      <c r="D234" s="29"/>
      <c r="E234" s="29"/>
      <c r="F234" s="30"/>
      <c r="G234" s="31"/>
      <c r="H234" s="39"/>
      <c r="I234" s="32" t="str">
        <f t="shared" si="19"/>
        <v/>
      </c>
      <c r="J234" s="33"/>
      <c r="K234" s="33"/>
      <c r="L234" s="34"/>
      <c r="M234" s="34"/>
      <c r="N234" s="36"/>
      <c r="O234" s="36"/>
      <c r="P234" s="36"/>
      <c r="Q234" s="36"/>
      <c r="R234" s="38"/>
      <c r="S234" s="38"/>
      <c r="T234" s="38"/>
      <c r="U234" s="38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50"/>
      <c r="BY234" s="50"/>
      <c r="BZ234" s="50"/>
      <c r="CA234" s="50"/>
      <c r="CB234" s="50"/>
      <c r="CC234" s="36"/>
      <c r="CD234" s="36"/>
      <c r="CE234" s="50"/>
      <c r="CF234" s="50"/>
      <c r="CG234" s="50"/>
      <c r="CH234" s="50"/>
      <c r="CI234" s="50"/>
      <c r="CJ234" s="36"/>
      <c r="CK234" s="36"/>
      <c r="CL234" s="50"/>
      <c r="CM234" s="50"/>
      <c r="CN234" s="50"/>
      <c r="CO234" s="50"/>
      <c r="CP234" s="50"/>
      <c r="CQ234" s="36"/>
      <c r="CR234" s="36"/>
      <c r="CS234" s="39"/>
      <c r="CT234" s="39"/>
      <c r="CU234" s="39"/>
      <c r="CV234" s="39"/>
      <c r="CW234" s="39"/>
      <c r="CX234" s="36"/>
      <c r="CY234" s="38"/>
      <c r="CZ234" s="38"/>
      <c r="DA234" s="13"/>
      <c r="DB234" s="13"/>
      <c r="DC234" s="13"/>
      <c r="DD234" s="13"/>
      <c r="DE234" s="13"/>
      <c r="DF234" s="13"/>
      <c r="DG234" s="13"/>
      <c r="DH234" s="13"/>
      <c r="DI234" s="13"/>
    </row>
    <row r="235" spans="2:113" ht="18" customHeight="1" x14ac:dyDescent="0.4">
      <c r="B235" s="27">
        <f t="shared" si="20"/>
        <v>224</v>
      </c>
      <c r="C235" s="28"/>
      <c r="D235" s="29"/>
      <c r="E235" s="29"/>
      <c r="F235" s="30"/>
      <c r="G235" s="31"/>
      <c r="H235" s="43"/>
      <c r="I235" s="32" t="str">
        <f t="shared" si="19"/>
        <v/>
      </c>
      <c r="J235" s="33"/>
      <c r="K235" s="33"/>
      <c r="L235" s="40"/>
      <c r="M235" s="40"/>
      <c r="N235" s="36"/>
      <c r="O235" s="36"/>
      <c r="P235" s="36"/>
      <c r="Q235" s="36"/>
      <c r="R235" s="38"/>
      <c r="S235" s="38"/>
      <c r="T235" s="38"/>
      <c r="U235" s="38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50"/>
      <c r="BG235" s="50"/>
      <c r="BH235" s="36"/>
      <c r="BI235" s="36"/>
      <c r="BJ235" s="50"/>
      <c r="BK235" s="50"/>
      <c r="BL235" s="50"/>
      <c r="BM235" s="50"/>
      <c r="BN235" s="50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8"/>
      <c r="CZ235" s="38"/>
      <c r="DA235" s="13"/>
      <c r="DB235" s="13"/>
      <c r="DC235" s="13"/>
      <c r="DD235" s="13"/>
      <c r="DE235" s="13"/>
      <c r="DF235" s="13"/>
      <c r="DG235" s="13"/>
      <c r="DH235" s="13"/>
      <c r="DI235" s="13"/>
    </row>
    <row r="236" spans="2:113" ht="18" customHeight="1" x14ac:dyDescent="0.4">
      <c r="B236" s="27">
        <f t="shared" si="20"/>
        <v>225</v>
      </c>
      <c r="C236" s="28"/>
      <c r="D236" s="29"/>
      <c r="E236" s="29"/>
      <c r="F236" s="30"/>
      <c r="G236" s="31"/>
      <c r="H236" s="39"/>
      <c r="I236" s="32" t="str">
        <f t="shared" si="19"/>
        <v/>
      </c>
      <c r="J236" s="33"/>
      <c r="K236" s="33"/>
      <c r="L236" s="40"/>
      <c r="M236" s="40"/>
      <c r="N236" s="36"/>
      <c r="O236" s="36"/>
      <c r="P236" s="36"/>
      <c r="Q236" s="36"/>
      <c r="R236" s="38"/>
      <c r="S236" s="38"/>
      <c r="T236" s="52"/>
      <c r="U236" s="5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39"/>
      <c r="BG236" s="39"/>
      <c r="BH236" s="36"/>
      <c r="BI236" s="36"/>
      <c r="BJ236" s="39"/>
      <c r="BK236" s="39"/>
      <c r="BL236" s="39"/>
      <c r="BM236" s="39"/>
      <c r="BN236" s="39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8"/>
      <c r="CZ236" s="38"/>
      <c r="DA236" s="13"/>
      <c r="DB236" s="13"/>
      <c r="DC236" s="13"/>
      <c r="DD236" s="13"/>
      <c r="DE236" s="13"/>
      <c r="DF236" s="13"/>
      <c r="DG236" s="13"/>
      <c r="DH236" s="13"/>
      <c r="DI236" s="13"/>
    </row>
    <row r="237" spans="2:113" ht="18" customHeight="1" x14ac:dyDescent="0.4">
      <c r="B237" s="27">
        <f t="shared" si="20"/>
        <v>226</v>
      </c>
      <c r="C237" s="28"/>
      <c r="D237" s="28"/>
      <c r="E237" s="29"/>
      <c r="F237" s="30"/>
      <c r="G237" s="31"/>
      <c r="H237" s="43"/>
      <c r="I237" s="32" t="str">
        <f t="shared" si="19"/>
        <v/>
      </c>
      <c r="J237" s="33"/>
      <c r="K237" s="33"/>
      <c r="L237" s="34"/>
      <c r="M237" s="34"/>
      <c r="N237" s="44"/>
      <c r="O237" s="36"/>
      <c r="P237" s="36"/>
      <c r="Q237" s="36"/>
      <c r="R237" s="36"/>
      <c r="S237" s="36"/>
      <c r="T237" s="38"/>
      <c r="U237" s="38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8"/>
      <c r="CZ237" s="38"/>
      <c r="DA237" s="13"/>
      <c r="DB237" s="13"/>
      <c r="DC237" s="13"/>
      <c r="DD237" s="13"/>
      <c r="DE237" s="13"/>
      <c r="DF237" s="13"/>
      <c r="DG237" s="13"/>
      <c r="DH237" s="13"/>
      <c r="DI237" s="13"/>
    </row>
    <row r="238" spans="2:113" ht="18" customHeight="1" x14ac:dyDescent="0.4">
      <c r="B238" s="27">
        <f t="shared" si="20"/>
        <v>227</v>
      </c>
      <c r="C238" s="28"/>
      <c r="D238" s="29"/>
      <c r="E238" s="29"/>
      <c r="F238" s="30"/>
      <c r="G238" s="31"/>
      <c r="H238" s="45"/>
      <c r="I238" s="32" t="str">
        <f t="shared" ref="I238:I301" si="21">IF(G238&gt;0,H238/G238,"")</f>
        <v/>
      </c>
      <c r="J238" s="33"/>
      <c r="K238" s="33"/>
      <c r="L238" s="46"/>
      <c r="M238" s="46"/>
      <c r="N238" s="36"/>
      <c r="O238" s="36"/>
      <c r="P238" s="36"/>
      <c r="Q238" s="36"/>
      <c r="R238" s="38"/>
      <c r="S238" s="38"/>
      <c r="T238" s="52"/>
      <c r="U238" s="5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8"/>
      <c r="CZ238" s="38"/>
      <c r="DA238" s="13"/>
      <c r="DB238" s="13"/>
      <c r="DC238" s="13"/>
      <c r="DD238" s="13"/>
      <c r="DE238" s="13"/>
      <c r="DF238" s="13"/>
      <c r="DG238" s="13"/>
      <c r="DH238" s="13"/>
      <c r="DI238" s="13"/>
    </row>
    <row r="239" spans="2:113" ht="18" customHeight="1" x14ac:dyDescent="0.4">
      <c r="B239" s="27">
        <f t="shared" si="20"/>
        <v>228</v>
      </c>
      <c r="C239" s="28"/>
      <c r="D239" s="29"/>
      <c r="E239" s="29"/>
      <c r="F239" s="30"/>
      <c r="G239" s="31"/>
      <c r="H239" s="45"/>
      <c r="I239" s="32" t="str">
        <f t="shared" si="21"/>
        <v/>
      </c>
      <c r="J239" s="33"/>
      <c r="K239" s="33"/>
      <c r="L239" s="46"/>
      <c r="M239" s="46"/>
      <c r="N239" s="41"/>
      <c r="O239" s="36"/>
      <c r="P239" s="36"/>
      <c r="Q239" s="41"/>
      <c r="R239" s="38"/>
      <c r="S239" s="38"/>
      <c r="T239" s="38"/>
      <c r="U239" s="38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37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/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8"/>
      <c r="CZ239" s="38"/>
      <c r="DA239" s="13"/>
      <c r="DB239" s="13"/>
      <c r="DC239" s="13"/>
      <c r="DD239" s="13"/>
      <c r="DE239" s="13"/>
      <c r="DF239" s="13"/>
      <c r="DG239" s="13"/>
      <c r="DH239" s="13"/>
      <c r="DI239" s="13"/>
    </row>
    <row r="240" spans="2:113" ht="18" customHeight="1" x14ac:dyDescent="0.4">
      <c r="B240" s="27">
        <f t="shared" si="20"/>
        <v>229</v>
      </c>
      <c r="C240" s="28"/>
      <c r="D240" s="28"/>
      <c r="E240" s="29"/>
      <c r="F240" s="30"/>
      <c r="G240" s="31"/>
      <c r="H240" s="43"/>
      <c r="I240" s="32" t="str">
        <f t="shared" si="21"/>
        <v/>
      </c>
      <c r="J240" s="33"/>
      <c r="K240" s="33"/>
      <c r="L240" s="34"/>
      <c r="M240" s="34"/>
      <c r="N240" s="36"/>
      <c r="O240" s="36"/>
      <c r="P240" s="36"/>
      <c r="Q240" s="36"/>
      <c r="R240" s="38"/>
      <c r="S240" s="38"/>
      <c r="T240" s="38"/>
      <c r="U240" s="38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8"/>
      <c r="CZ240" s="38"/>
      <c r="DA240" s="13"/>
      <c r="DB240" s="13"/>
      <c r="DC240" s="13"/>
      <c r="DD240" s="13"/>
      <c r="DE240" s="13"/>
      <c r="DF240" s="13"/>
      <c r="DG240" s="13"/>
      <c r="DH240" s="13"/>
      <c r="DI240" s="13"/>
    </row>
    <row r="241" spans="2:113" ht="18" customHeight="1" x14ac:dyDescent="0.4">
      <c r="B241" s="27">
        <f t="shared" si="20"/>
        <v>230</v>
      </c>
      <c r="C241" s="28"/>
      <c r="D241" s="28"/>
      <c r="E241" s="29"/>
      <c r="F241" s="30"/>
      <c r="G241" s="31"/>
      <c r="H241" s="39"/>
      <c r="I241" s="32" t="str">
        <f t="shared" si="21"/>
        <v/>
      </c>
      <c r="J241" s="33"/>
      <c r="K241" s="33"/>
      <c r="L241" s="34"/>
      <c r="M241" s="34"/>
      <c r="N241" s="47"/>
      <c r="O241" s="36"/>
      <c r="P241" s="36"/>
      <c r="Q241" s="36"/>
      <c r="R241" s="38"/>
      <c r="S241" s="38"/>
      <c r="T241" s="38"/>
      <c r="U241" s="38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8"/>
      <c r="CZ241" s="38"/>
      <c r="DA241" s="13"/>
      <c r="DB241" s="13"/>
      <c r="DC241" s="13"/>
      <c r="DD241" s="13"/>
      <c r="DE241" s="13"/>
      <c r="DF241" s="13"/>
      <c r="DG241" s="13"/>
      <c r="DH241" s="13"/>
      <c r="DI241" s="13"/>
    </row>
    <row r="242" spans="2:113" ht="18" customHeight="1" x14ac:dyDescent="0.4">
      <c r="B242" s="27">
        <f t="shared" si="20"/>
        <v>231</v>
      </c>
      <c r="C242" s="28"/>
      <c r="D242" s="28"/>
      <c r="E242" s="29"/>
      <c r="F242" s="30"/>
      <c r="G242" s="31"/>
      <c r="H242" s="43"/>
      <c r="I242" s="32" t="str">
        <f t="shared" si="21"/>
        <v/>
      </c>
      <c r="J242" s="33"/>
      <c r="K242" s="33"/>
      <c r="L242" s="34"/>
      <c r="M242" s="34"/>
      <c r="N242" s="36"/>
      <c r="O242" s="36"/>
      <c r="P242" s="36"/>
      <c r="Q242" s="36"/>
      <c r="R242" s="38"/>
      <c r="S242" s="38"/>
      <c r="T242" s="53"/>
      <c r="U242" s="53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/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8"/>
      <c r="CZ242" s="38"/>
      <c r="DA242" s="13"/>
      <c r="DB242" s="13"/>
      <c r="DC242" s="13"/>
      <c r="DD242" s="13"/>
      <c r="DE242" s="13"/>
      <c r="DF242" s="13"/>
      <c r="DG242" s="13"/>
      <c r="DH242" s="13"/>
      <c r="DI242" s="13"/>
    </row>
    <row r="243" spans="2:113" ht="18" customHeight="1" x14ac:dyDescent="0.4">
      <c r="B243" s="27">
        <f t="shared" si="20"/>
        <v>232</v>
      </c>
      <c r="C243" s="28"/>
      <c r="D243" s="29"/>
      <c r="E243" s="29"/>
      <c r="F243" s="30"/>
      <c r="G243" s="31"/>
      <c r="H243" s="39"/>
      <c r="I243" s="32" t="str">
        <f t="shared" si="21"/>
        <v/>
      </c>
      <c r="J243" s="33"/>
      <c r="K243" s="33"/>
      <c r="L243" s="34"/>
      <c r="M243" s="34"/>
      <c r="N243" s="44"/>
      <c r="O243" s="36"/>
      <c r="P243" s="36"/>
      <c r="Q243" s="36"/>
      <c r="R243" s="38"/>
      <c r="S243" s="38"/>
      <c r="T243" s="38"/>
      <c r="U243" s="38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8"/>
      <c r="CZ243" s="38"/>
      <c r="DA243" s="13"/>
      <c r="DB243" s="13"/>
      <c r="DC243" s="13"/>
      <c r="DD243" s="13"/>
      <c r="DE243" s="13"/>
      <c r="DF243" s="13"/>
      <c r="DG243" s="13"/>
      <c r="DH243" s="13"/>
      <c r="DI243" s="13"/>
    </row>
    <row r="244" spans="2:113" ht="18" customHeight="1" x14ac:dyDescent="0.4">
      <c r="B244" s="27">
        <f t="shared" si="20"/>
        <v>233</v>
      </c>
      <c r="C244" s="28"/>
      <c r="D244" s="29"/>
      <c r="E244" s="29"/>
      <c r="F244" s="30"/>
      <c r="G244" s="31"/>
      <c r="H244" s="43"/>
      <c r="I244" s="32" t="str">
        <f t="shared" si="21"/>
        <v/>
      </c>
      <c r="J244" s="33"/>
      <c r="K244" s="33"/>
      <c r="L244" s="34"/>
      <c r="M244" s="34"/>
      <c r="N244" s="54"/>
      <c r="O244" s="54"/>
      <c r="P244" s="54"/>
      <c r="Q244" s="54"/>
      <c r="R244" s="38"/>
      <c r="S244" s="38"/>
      <c r="T244" s="38"/>
      <c r="U244" s="38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8"/>
      <c r="CZ244" s="38"/>
      <c r="DA244" s="13"/>
      <c r="DB244" s="13"/>
      <c r="DC244" s="13"/>
      <c r="DD244" s="13"/>
      <c r="DE244" s="13"/>
      <c r="DF244" s="13"/>
      <c r="DG244" s="13"/>
      <c r="DH244" s="13"/>
      <c r="DI244" s="13"/>
    </row>
    <row r="245" spans="2:113" ht="18" customHeight="1" x14ac:dyDescent="0.4">
      <c r="B245" s="27">
        <f t="shared" si="20"/>
        <v>234</v>
      </c>
      <c r="C245" s="28"/>
      <c r="D245" s="29"/>
      <c r="E245" s="29"/>
      <c r="F245" s="30"/>
      <c r="G245" s="31"/>
      <c r="H245" s="43"/>
      <c r="I245" s="32" t="str">
        <f t="shared" si="21"/>
        <v/>
      </c>
      <c r="J245" s="33"/>
      <c r="K245" s="33"/>
      <c r="L245" s="34"/>
      <c r="M245" s="34"/>
      <c r="N245" s="54"/>
      <c r="O245" s="54"/>
      <c r="P245" s="54"/>
      <c r="Q245" s="54"/>
      <c r="R245" s="38"/>
      <c r="S245" s="38"/>
      <c r="T245" s="54"/>
      <c r="U245" s="54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8"/>
      <c r="CZ245" s="38"/>
      <c r="DA245" s="13"/>
      <c r="DB245" s="13"/>
      <c r="DC245" s="13"/>
      <c r="DD245" s="13"/>
      <c r="DE245" s="13"/>
      <c r="DF245" s="13"/>
      <c r="DG245" s="13"/>
      <c r="DH245" s="13"/>
      <c r="DI245" s="13"/>
    </row>
    <row r="246" spans="2:113" ht="18" customHeight="1" x14ac:dyDescent="0.4">
      <c r="B246" s="27">
        <f t="shared" si="20"/>
        <v>235</v>
      </c>
      <c r="C246" s="28"/>
      <c r="D246" s="29"/>
      <c r="E246" s="29"/>
      <c r="F246" s="30"/>
      <c r="G246" s="31"/>
      <c r="H246" s="39"/>
      <c r="I246" s="32" t="str">
        <f t="shared" si="21"/>
        <v/>
      </c>
      <c r="J246" s="33"/>
      <c r="K246" s="33"/>
      <c r="L246" s="40"/>
      <c r="M246" s="40"/>
      <c r="N246" s="44"/>
      <c r="O246" s="36"/>
      <c r="P246" s="36"/>
      <c r="Q246" s="36"/>
      <c r="R246" s="36"/>
      <c r="S246" s="36"/>
      <c r="T246" s="38"/>
      <c r="U246" s="38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8"/>
      <c r="CZ246" s="38"/>
      <c r="DA246" s="13"/>
      <c r="DB246" s="13"/>
      <c r="DC246" s="13"/>
      <c r="DD246" s="13"/>
      <c r="DE246" s="13"/>
      <c r="DF246" s="13"/>
      <c r="DG246" s="13"/>
      <c r="DH246" s="13"/>
      <c r="DI246" s="13"/>
    </row>
    <row r="247" spans="2:113" ht="18" customHeight="1" x14ac:dyDescent="0.4">
      <c r="B247" s="27">
        <f t="shared" si="20"/>
        <v>236</v>
      </c>
      <c r="C247" s="28"/>
      <c r="D247" s="29"/>
      <c r="E247" s="29"/>
      <c r="F247" s="30"/>
      <c r="G247" s="31"/>
      <c r="H247" s="39"/>
      <c r="I247" s="32" t="str">
        <f t="shared" si="21"/>
        <v/>
      </c>
      <c r="J247" s="33"/>
      <c r="K247" s="33"/>
      <c r="L247" s="40"/>
      <c r="M247" s="40"/>
      <c r="N247" s="36"/>
      <c r="O247" s="36"/>
      <c r="P247" s="36"/>
      <c r="Q247" s="36"/>
      <c r="R247" s="38"/>
      <c r="S247" s="38"/>
      <c r="T247" s="38"/>
      <c r="U247" s="38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50"/>
      <c r="BG247" s="50"/>
      <c r="BH247" s="36"/>
      <c r="BI247" s="36"/>
      <c r="BJ247" s="50"/>
      <c r="BK247" s="50"/>
      <c r="BL247" s="50"/>
      <c r="BM247" s="50"/>
      <c r="BN247" s="50"/>
      <c r="BO247" s="36"/>
      <c r="BP247" s="36"/>
      <c r="BQ247" s="39"/>
      <c r="BR247" s="39"/>
      <c r="BS247" s="39"/>
      <c r="BT247" s="39"/>
      <c r="BU247" s="39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8"/>
      <c r="CZ247" s="38"/>
      <c r="DA247" s="13"/>
      <c r="DB247" s="13"/>
      <c r="DC247" s="13"/>
      <c r="DD247" s="13"/>
      <c r="DE247" s="13"/>
      <c r="DF247" s="13"/>
      <c r="DG247" s="13"/>
      <c r="DH247" s="13"/>
      <c r="DI247" s="13"/>
    </row>
    <row r="248" spans="2:113" ht="18" customHeight="1" x14ac:dyDescent="0.4">
      <c r="B248" s="27">
        <f t="shared" si="20"/>
        <v>237</v>
      </c>
      <c r="C248" s="28"/>
      <c r="D248" s="29"/>
      <c r="E248" s="29"/>
      <c r="F248" s="30"/>
      <c r="G248" s="31"/>
      <c r="H248" s="39"/>
      <c r="I248" s="32" t="str">
        <f t="shared" si="21"/>
        <v/>
      </c>
      <c r="J248" s="33"/>
      <c r="K248" s="33"/>
      <c r="L248" s="40"/>
      <c r="M248" s="40"/>
      <c r="N248" s="36"/>
      <c r="O248" s="41"/>
      <c r="P248" s="41"/>
      <c r="Q248" s="41"/>
      <c r="R248" s="38"/>
      <c r="S248" s="38"/>
      <c r="T248" s="38"/>
      <c r="U248" s="38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8"/>
      <c r="CZ248" s="38"/>
      <c r="DA248" s="13"/>
      <c r="DB248" s="13"/>
      <c r="DC248" s="13"/>
      <c r="DD248" s="13"/>
      <c r="DE248" s="13"/>
      <c r="DF248" s="13"/>
      <c r="DG248" s="13"/>
      <c r="DH248" s="13"/>
      <c r="DI248" s="13"/>
    </row>
    <row r="249" spans="2:113" ht="18" customHeight="1" x14ac:dyDescent="0.4">
      <c r="B249" s="27">
        <f t="shared" si="20"/>
        <v>238</v>
      </c>
      <c r="C249" s="28"/>
      <c r="D249" s="29"/>
      <c r="E249" s="29"/>
      <c r="F249" s="30"/>
      <c r="G249" s="31"/>
      <c r="H249" s="39"/>
      <c r="I249" s="32" t="str">
        <f t="shared" si="21"/>
        <v/>
      </c>
      <c r="J249" s="33"/>
      <c r="K249" s="33"/>
      <c r="L249" s="34"/>
      <c r="M249" s="34"/>
      <c r="N249" s="36"/>
      <c r="O249" s="36"/>
      <c r="P249" s="36"/>
      <c r="Q249" s="36"/>
      <c r="R249" s="38"/>
      <c r="S249" s="38"/>
      <c r="T249" s="52"/>
      <c r="U249" s="52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/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8"/>
      <c r="CZ249" s="38"/>
      <c r="DA249" s="13"/>
      <c r="DB249" s="13"/>
      <c r="DC249" s="13"/>
      <c r="DD249" s="13"/>
      <c r="DE249" s="13"/>
      <c r="DF249" s="13"/>
      <c r="DG249" s="13"/>
      <c r="DH249" s="13"/>
      <c r="DI249" s="13"/>
    </row>
    <row r="250" spans="2:113" ht="18" customHeight="1" x14ac:dyDescent="0.4">
      <c r="B250" s="27">
        <f t="shared" si="20"/>
        <v>239</v>
      </c>
      <c r="C250" s="28"/>
      <c r="D250" s="29"/>
      <c r="E250" s="29"/>
      <c r="F250" s="30"/>
      <c r="G250" s="31"/>
      <c r="H250" s="39"/>
      <c r="I250" s="32" t="str">
        <f t="shared" si="21"/>
        <v/>
      </c>
      <c r="J250" s="33"/>
      <c r="K250" s="33"/>
      <c r="L250" s="40"/>
      <c r="M250" s="40"/>
      <c r="N250" s="36"/>
      <c r="O250" s="36"/>
      <c r="P250" s="36"/>
      <c r="Q250" s="36"/>
      <c r="R250" s="38"/>
      <c r="S250" s="38"/>
      <c r="T250" s="52"/>
      <c r="U250" s="52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/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8"/>
      <c r="CZ250" s="38"/>
      <c r="DA250" s="13"/>
      <c r="DB250" s="13"/>
      <c r="DC250" s="13"/>
      <c r="DD250" s="13"/>
      <c r="DE250" s="13"/>
      <c r="DF250" s="13"/>
      <c r="DG250" s="13"/>
      <c r="DH250" s="13"/>
      <c r="DI250" s="13"/>
    </row>
    <row r="251" spans="2:113" ht="18" customHeight="1" x14ac:dyDescent="0.4">
      <c r="B251" s="27">
        <f t="shared" si="20"/>
        <v>240</v>
      </c>
      <c r="C251" s="28"/>
      <c r="D251" s="29"/>
      <c r="E251" s="29"/>
      <c r="F251" s="30"/>
      <c r="G251" s="31"/>
      <c r="H251" s="39"/>
      <c r="I251" s="32" t="str">
        <f t="shared" si="21"/>
        <v/>
      </c>
      <c r="J251" s="33"/>
      <c r="K251" s="33"/>
      <c r="L251" s="34"/>
      <c r="M251" s="34"/>
      <c r="N251" s="48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49"/>
      <c r="AG251" s="49"/>
      <c r="AH251" s="49"/>
      <c r="AI251" s="49"/>
      <c r="AJ251" s="49"/>
      <c r="AK251" s="49"/>
      <c r="AL251" s="49"/>
      <c r="AM251" s="49"/>
      <c r="AN251" s="49"/>
      <c r="AO251" s="49"/>
      <c r="AP251" s="49"/>
      <c r="AQ251" s="49"/>
      <c r="AR251" s="49"/>
      <c r="AS251" s="49"/>
      <c r="AT251" s="49"/>
      <c r="AU251" s="49"/>
      <c r="AV251" s="49"/>
      <c r="AW251" s="49"/>
      <c r="AX251" s="49"/>
      <c r="AY251" s="49"/>
      <c r="AZ251" s="49"/>
      <c r="BA251" s="49"/>
      <c r="BB251" s="49"/>
      <c r="BC251" s="49"/>
      <c r="BD251" s="49"/>
      <c r="BE251" s="49"/>
      <c r="BF251" s="49"/>
      <c r="BG251" s="49"/>
      <c r="BH251" s="49"/>
      <c r="BI251" s="49"/>
      <c r="BJ251" s="49"/>
      <c r="BK251" s="49"/>
      <c r="BL251" s="49"/>
      <c r="BM251" s="49"/>
      <c r="BN251" s="49"/>
      <c r="BO251" s="49"/>
      <c r="BP251" s="49"/>
      <c r="BQ251" s="49"/>
      <c r="BR251" s="49"/>
      <c r="BS251" s="49"/>
      <c r="BT251" s="49"/>
      <c r="BU251" s="49"/>
      <c r="BV251" s="49"/>
      <c r="BW251" s="49"/>
      <c r="BX251" s="49"/>
      <c r="BY251" s="49"/>
      <c r="BZ251" s="49"/>
      <c r="CA251" s="49"/>
      <c r="CB251" s="49"/>
      <c r="CC251" s="49"/>
      <c r="CD251" s="49"/>
      <c r="CE251" s="49"/>
      <c r="CF251" s="49"/>
      <c r="CG251" s="49"/>
      <c r="CH251" s="49"/>
      <c r="CI251" s="49"/>
      <c r="CJ251" s="49"/>
      <c r="CK251" s="49"/>
      <c r="CL251" s="49"/>
      <c r="CM251" s="49"/>
      <c r="CN251" s="49"/>
      <c r="CO251" s="49"/>
      <c r="CP251" s="49"/>
      <c r="CQ251" s="49"/>
      <c r="CR251" s="49"/>
      <c r="CS251" s="49"/>
      <c r="CT251" s="49"/>
      <c r="CU251" s="49"/>
      <c r="CV251" s="49"/>
      <c r="CW251" s="49"/>
      <c r="CX251" s="49"/>
      <c r="CY251" s="49"/>
      <c r="CZ251" s="49"/>
    </row>
    <row r="252" spans="2:113" ht="18" customHeight="1" x14ac:dyDescent="0.4">
      <c r="B252" s="27">
        <f t="shared" si="20"/>
        <v>241</v>
      </c>
      <c r="C252" s="28"/>
      <c r="D252" s="29"/>
      <c r="E252" s="29"/>
      <c r="F252" s="30"/>
      <c r="G252" s="31"/>
      <c r="H252" s="45"/>
      <c r="I252" s="32" t="str">
        <f t="shared" si="21"/>
        <v/>
      </c>
      <c r="J252" s="33"/>
      <c r="K252" s="33"/>
      <c r="L252" s="46"/>
      <c r="M252" s="46"/>
      <c r="N252" s="48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49"/>
      <c r="AG252" s="49"/>
      <c r="AH252" s="49"/>
      <c r="AI252" s="49"/>
      <c r="AJ252" s="49"/>
      <c r="AK252" s="49"/>
      <c r="AL252" s="49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/>
      <c r="AY252" s="49"/>
      <c r="AZ252" s="49"/>
      <c r="BA252" s="49"/>
      <c r="BB252" s="49"/>
      <c r="BC252" s="49"/>
      <c r="BD252" s="49"/>
      <c r="BE252" s="49"/>
      <c r="BF252" s="49"/>
      <c r="BG252" s="49"/>
      <c r="BH252" s="49"/>
      <c r="BI252" s="49"/>
      <c r="BJ252" s="49"/>
      <c r="BK252" s="49"/>
      <c r="BL252" s="49"/>
      <c r="BM252" s="49"/>
      <c r="BN252" s="49"/>
      <c r="BO252" s="49"/>
      <c r="BP252" s="49"/>
      <c r="BQ252" s="49"/>
      <c r="BR252" s="49"/>
      <c r="BS252" s="49"/>
      <c r="BT252" s="49"/>
      <c r="BU252" s="49"/>
      <c r="BV252" s="49"/>
      <c r="BW252" s="49"/>
      <c r="BX252" s="49"/>
      <c r="BY252" s="49"/>
      <c r="BZ252" s="49"/>
      <c r="CA252" s="49"/>
      <c r="CB252" s="49"/>
      <c r="CC252" s="49"/>
      <c r="CD252" s="49"/>
      <c r="CE252" s="49"/>
      <c r="CF252" s="49"/>
      <c r="CG252" s="49"/>
      <c r="CH252" s="49"/>
      <c r="CI252" s="49"/>
      <c r="CJ252" s="49"/>
      <c r="CK252" s="49"/>
      <c r="CL252" s="49"/>
      <c r="CM252" s="49"/>
      <c r="CN252" s="49"/>
      <c r="CO252" s="49"/>
      <c r="CP252" s="49"/>
      <c r="CQ252" s="49"/>
      <c r="CR252" s="49"/>
      <c r="CS252" s="49"/>
      <c r="CT252" s="49"/>
      <c r="CU252" s="49"/>
      <c r="CV252" s="49"/>
      <c r="CW252" s="49"/>
      <c r="CX252" s="49"/>
      <c r="CY252" s="49"/>
      <c r="CZ252" s="49"/>
    </row>
    <row r="253" spans="2:113" ht="18" customHeight="1" x14ac:dyDescent="0.4">
      <c r="B253" s="27">
        <f t="shared" si="20"/>
        <v>242</v>
      </c>
      <c r="C253" s="28"/>
      <c r="D253" s="29"/>
      <c r="E253" s="29"/>
      <c r="F253" s="30"/>
      <c r="G253" s="31"/>
      <c r="H253" s="39"/>
      <c r="I253" s="32" t="str">
        <f t="shared" si="21"/>
        <v/>
      </c>
      <c r="J253" s="33"/>
      <c r="K253" s="33"/>
      <c r="L253" s="40"/>
      <c r="M253" s="40"/>
      <c r="N253" s="44"/>
      <c r="O253" s="36"/>
      <c r="P253" s="36"/>
      <c r="Q253" s="36"/>
      <c r="R253" s="36"/>
      <c r="S253" s="36"/>
      <c r="T253" s="38"/>
      <c r="U253" s="38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8"/>
      <c r="CZ253" s="38"/>
      <c r="DA253" s="13"/>
      <c r="DB253" s="13"/>
      <c r="DC253" s="13"/>
      <c r="DD253" s="13"/>
      <c r="DE253" s="13"/>
      <c r="DF253" s="13"/>
      <c r="DG253" s="13"/>
      <c r="DH253" s="13"/>
      <c r="DI253" s="13"/>
    </row>
    <row r="254" spans="2:113" ht="18" customHeight="1" x14ac:dyDescent="0.4">
      <c r="B254" s="27">
        <f t="shared" si="20"/>
        <v>243</v>
      </c>
      <c r="C254" s="28"/>
      <c r="D254" s="28"/>
      <c r="E254" s="29"/>
      <c r="F254" s="30"/>
      <c r="G254" s="31"/>
      <c r="H254" s="39"/>
      <c r="I254" s="32" t="str">
        <f t="shared" si="21"/>
        <v/>
      </c>
      <c r="J254" s="33"/>
      <c r="K254" s="33"/>
      <c r="L254" s="40"/>
      <c r="M254" s="40"/>
      <c r="N254" s="48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49"/>
      <c r="AE254" s="49"/>
      <c r="AF254" s="49"/>
      <c r="AG254" s="49"/>
      <c r="AH254" s="49"/>
      <c r="AI254" s="49"/>
      <c r="AJ254" s="49"/>
      <c r="AK254" s="49"/>
      <c r="AL254" s="49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/>
      <c r="AY254" s="49"/>
      <c r="AZ254" s="49"/>
      <c r="BA254" s="49"/>
      <c r="BB254" s="49"/>
      <c r="BC254" s="49"/>
      <c r="BD254" s="49"/>
      <c r="BE254" s="49"/>
      <c r="BF254" s="49"/>
      <c r="BG254" s="49"/>
      <c r="BH254" s="49"/>
      <c r="BI254" s="49"/>
      <c r="BJ254" s="49"/>
      <c r="BK254" s="49"/>
      <c r="BL254" s="49"/>
      <c r="BM254" s="49"/>
      <c r="BN254" s="49"/>
      <c r="BO254" s="49"/>
      <c r="BP254" s="49"/>
      <c r="BQ254" s="49"/>
      <c r="BR254" s="49"/>
      <c r="BS254" s="49"/>
      <c r="BT254" s="49"/>
      <c r="BU254" s="49"/>
      <c r="BV254" s="49"/>
      <c r="BW254" s="49"/>
      <c r="BX254" s="49"/>
      <c r="BY254" s="49"/>
      <c r="BZ254" s="49"/>
      <c r="CA254" s="49"/>
      <c r="CB254" s="49"/>
      <c r="CC254" s="49"/>
      <c r="CD254" s="49"/>
      <c r="CE254" s="49"/>
      <c r="CF254" s="49"/>
      <c r="CG254" s="49"/>
      <c r="CH254" s="49"/>
      <c r="CI254" s="49"/>
      <c r="CJ254" s="49"/>
      <c r="CK254" s="49"/>
      <c r="CL254" s="49"/>
      <c r="CM254" s="49"/>
      <c r="CN254" s="49"/>
      <c r="CO254" s="49"/>
      <c r="CP254" s="49"/>
      <c r="CQ254" s="49"/>
      <c r="CR254" s="49"/>
      <c r="CS254" s="49"/>
      <c r="CT254" s="49"/>
      <c r="CU254" s="49"/>
      <c r="CV254" s="49"/>
      <c r="CW254" s="49"/>
      <c r="CX254" s="49"/>
      <c r="CY254" s="49"/>
      <c r="CZ254" s="49"/>
    </row>
    <row r="255" spans="2:113" ht="18" customHeight="1" x14ac:dyDescent="0.4">
      <c r="B255" s="27">
        <f t="shared" si="20"/>
        <v>244</v>
      </c>
      <c r="C255" s="28"/>
      <c r="D255" s="28"/>
      <c r="E255" s="29"/>
      <c r="F255" s="30"/>
      <c r="G255" s="31"/>
      <c r="H255" s="39"/>
      <c r="I255" s="32" t="str">
        <f t="shared" si="21"/>
        <v/>
      </c>
      <c r="J255" s="33"/>
      <c r="K255" s="33"/>
      <c r="L255" s="34"/>
      <c r="M255" s="34"/>
      <c r="N255" s="48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  <c r="AK255" s="49"/>
      <c r="AL255" s="49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  <c r="BD255" s="49"/>
      <c r="BE255" s="49"/>
      <c r="BF255" s="49"/>
      <c r="BG255" s="49"/>
      <c r="BH255" s="49"/>
      <c r="BI255" s="49"/>
      <c r="BJ255" s="49"/>
      <c r="BK255" s="49"/>
      <c r="BL255" s="49"/>
      <c r="BM255" s="49"/>
      <c r="BN255" s="49"/>
      <c r="BO255" s="49"/>
      <c r="BP255" s="49"/>
      <c r="BQ255" s="49"/>
      <c r="BR255" s="49"/>
      <c r="BS255" s="49"/>
      <c r="BT255" s="49"/>
      <c r="BU255" s="49"/>
      <c r="BV255" s="49"/>
      <c r="BW255" s="49"/>
      <c r="BX255" s="49"/>
      <c r="BY255" s="49"/>
      <c r="BZ255" s="49"/>
      <c r="CA255" s="49"/>
      <c r="CB255" s="49"/>
      <c r="CC255" s="49"/>
      <c r="CD255" s="49"/>
      <c r="CE255" s="49"/>
      <c r="CF255" s="49"/>
      <c r="CG255" s="49"/>
      <c r="CH255" s="49"/>
      <c r="CI255" s="49"/>
      <c r="CJ255" s="49"/>
      <c r="CK255" s="49"/>
      <c r="CL255" s="49"/>
      <c r="CM255" s="49"/>
      <c r="CN255" s="49"/>
      <c r="CO255" s="49"/>
      <c r="CP255" s="49"/>
      <c r="CQ255" s="49"/>
      <c r="CR255" s="49"/>
      <c r="CS255" s="49"/>
      <c r="CT255" s="49"/>
      <c r="CU255" s="49"/>
      <c r="CV255" s="49"/>
      <c r="CW255" s="49"/>
      <c r="CX255" s="49"/>
      <c r="CY255" s="49"/>
      <c r="CZ255" s="49"/>
    </row>
    <row r="256" spans="2:113" ht="18" customHeight="1" x14ac:dyDescent="0.4">
      <c r="B256" s="27">
        <f t="shared" si="20"/>
        <v>245</v>
      </c>
      <c r="C256" s="28"/>
      <c r="D256" s="28"/>
      <c r="E256" s="29"/>
      <c r="F256" s="30"/>
      <c r="G256" s="31"/>
      <c r="H256" s="45"/>
      <c r="I256" s="32" t="str">
        <f t="shared" si="21"/>
        <v/>
      </c>
      <c r="J256" s="33"/>
      <c r="K256" s="33"/>
      <c r="L256" s="46"/>
      <c r="M256" s="46"/>
      <c r="N256" s="48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49"/>
      <c r="AG256" s="49"/>
      <c r="AH256" s="49"/>
      <c r="AI256" s="49"/>
      <c r="AJ256" s="49"/>
      <c r="AK256" s="49"/>
      <c r="AL256" s="49"/>
      <c r="AM256" s="49"/>
      <c r="AN256" s="49"/>
      <c r="AO256" s="49"/>
      <c r="AP256" s="49"/>
      <c r="AQ256" s="49"/>
      <c r="AR256" s="49"/>
      <c r="AS256" s="49"/>
      <c r="AT256" s="49"/>
      <c r="AU256" s="49"/>
      <c r="AV256" s="49"/>
      <c r="AW256" s="49"/>
      <c r="AX256" s="49"/>
      <c r="AY256" s="49"/>
      <c r="AZ256" s="49"/>
      <c r="BA256" s="49"/>
      <c r="BB256" s="49"/>
      <c r="BC256" s="49"/>
      <c r="BD256" s="49"/>
      <c r="BE256" s="49"/>
      <c r="BF256" s="49"/>
      <c r="BG256" s="49"/>
      <c r="BH256" s="49"/>
      <c r="BI256" s="49"/>
      <c r="BJ256" s="49"/>
      <c r="BK256" s="49"/>
      <c r="BL256" s="49"/>
      <c r="BM256" s="49"/>
      <c r="BN256" s="49"/>
      <c r="BO256" s="49"/>
      <c r="BP256" s="49"/>
      <c r="BQ256" s="49"/>
      <c r="BR256" s="49"/>
      <c r="BS256" s="49"/>
      <c r="BT256" s="49"/>
      <c r="BU256" s="49"/>
      <c r="BV256" s="49"/>
      <c r="BW256" s="49"/>
      <c r="BX256" s="49"/>
      <c r="BY256" s="49"/>
      <c r="BZ256" s="49"/>
      <c r="CA256" s="49"/>
      <c r="CB256" s="49"/>
      <c r="CC256" s="49"/>
      <c r="CD256" s="49"/>
      <c r="CE256" s="49"/>
      <c r="CF256" s="49"/>
      <c r="CG256" s="49"/>
      <c r="CH256" s="49"/>
      <c r="CI256" s="49"/>
      <c r="CJ256" s="49"/>
      <c r="CK256" s="49"/>
      <c r="CL256" s="49"/>
      <c r="CM256" s="49"/>
      <c r="CN256" s="49"/>
      <c r="CO256" s="49"/>
      <c r="CP256" s="49"/>
      <c r="CQ256" s="49"/>
      <c r="CR256" s="49"/>
      <c r="CS256" s="49"/>
      <c r="CT256" s="49"/>
      <c r="CU256" s="49"/>
      <c r="CV256" s="49"/>
      <c r="CW256" s="49"/>
      <c r="CX256" s="49"/>
      <c r="CY256" s="49"/>
      <c r="CZ256" s="49"/>
    </row>
    <row r="257" spans="2:113" ht="18" customHeight="1" x14ac:dyDescent="0.4">
      <c r="B257" s="27">
        <f t="shared" si="20"/>
        <v>246</v>
      </c>
      <c r="C257" s="28"/>
      <c r="D257" s="28"/>
      <c r="E257" s="29"/>
      <c r="F257" s="30"/>
      <c r="G257" s="31"/>
      <c r="H257" s="45"/>
      <c r="I257" s="32" t="str">
        <f t="shared" si="21"/>
        <v/>
      </c>
      <c r="J257" s="33"/>
      <c r="K257" s="33"/>
      <c r="L257" s="46"/>
      <c r="M257" s="46"/>
      <c r="N257" s="36"/>
      <c r="O257" s="36"/>
      <c r="P257" s="36"/>
      <c r="Q257" s="36"/>
      <c r="R257" s="38"/>
      <c r="S257" s="38"/>
      <c r="T257" s="38"/>
      <c r="U257" s="38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8"/>
      <c r="CZ257" s="38"/>
      <c r="DA257" s="13"/>
      <c r="DB257" s="13"/>
      <c r="DC257" s="13"/>
      <c r="DD257" s="13"/>
      <c r="DE257" s="13"/>
      <c r="DF257" s="13"/>
      <c r="DG257" s="13"/>
      <c r="DH257" s="13"/>
      <c r="DI257" s="13"/>
    </row>
    <row r="258" spans="2:113" ht="18" customHeight="1" x14ac:dyDescent="0.4">
      <c r="B258" s="27">
        <f t="shared" si="20"/>
        <v>247</v>
      </c>
      <c r="C258" s="28"/>
      <c r="D258" s="29"/>
      <c r="E258" s="29"/>
      <c r="F258" s="30"/>
      <c r="G258" s="31"/>
      <c r="H258" s="45"/>
      <c r="I258" s="32" t="str">
        <f t="shared" si="21"/>
        <v/>
      </c>
      <c r="J258" s="33"/>
      <c r="K258" s="33"/>
      <c r="L258" s="46"/>
      <c r="M258" s="46"/>
      <c r="N258" s="36"/>
      <c r="O258" s="36"/>
      <c r="P258" s="36"/>
      <c r="Q258" s="36"/>
      <c r="R258" s="38"/>
      <c r="S258" s="38"/>
      <c r="T258" s="38"/>
      <c r="U258" s="38"/>
      <c r="V258" s="55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0"/>
      <c r="BG258" s="50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8"/>
      <c r="CZ258" s="38"/>
      <c r="DA258" s="13"/>
      <c r="DB258" s="13"/>
      <c r="DC258" s="13"/>
      <c r="DD258" s="13"/>
      <c r="DE258" s="13"/>
      <c r="DF258" s="13"/>
      <c r="DG258" s="13"/>
      <c r="DH258" s="13"/>
      <c r="DI258" s="13"/>
    </row>
    <row r="259" spans="2:113" ht="18" customHeight="1" x14ac:dyDescent="0.4">
      <c r="B259" s="27">
        <f t="shared" si="20"/>
        <v>248</v>
      </c>
      <c r="C259" s="28"/>
      <c r="D259" s="29"/>
      <c r="E259" s="29"/>
      <c r="F259" s="30"/>
      <c r="G259" s="31"/>
      <c r="H259" s="45"/>
      <c r="I259" s="32" t="str">
        <f t="shared" si="21"/>
        <v/>
      </c>
      <c r="J259" s="33"/>
      <c r="K259" s="33"/>
      <c r="L259" s="46"/>
      <c r="M259" s="46"/>
      <c r="N259" s="36"/>
      <c r="O259" s="36"/>
      <c r="P259" s="36"/>
      <c r="Q259" s="36"/>
      <c r="R259" s="38"/>
      <c r="S259" s="38"/>
      <c r="T259" s="52"/>
      <c r="U259" s="52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8"/>
      <c r="CZ259" s="38"/>
      <c r="DA259" s="13"/>
      <c r="DB259" s="13"/>
      <c r="DC259" s="13"/>
      <c r="DD259" s="13"/>
      <c r="DE259" s="13"/>
      <c r="DF259" s="13"/>
      <c r="DG259" s="13"/>
      <c r="DH259" s="13"/>
      <c r="DI259" s="13"/>
    </row>
    <row r="260" spans="2:113" ht="18" customHeight="1" x14ac:dyDescent="0.4">
      <c r="B260" s="27">
        <f t="shared" si="20"/>
        <v>249</v>
      </c>
      <c r="C260" s="28"/>
      <c r="D260" s="29"/>
      <c r="E260" s="29"/>
      <c r="F260" s="30"/>
      <c r="G260" s="31"/>
      <c r="H260" s="43"/>
      <c r="I260" s="32" t="str">
        <f t="shared" si="21"/>
        <v/>
      </c>
      <c r="J260" s="33"/>
      <c r="K260" s="33"/>
      <c r="L260" s="57"/>
      <c r="M260" s="57"/>
      <c r="N260" s="47"/>
      <c r="O260" s="36"/>
      <c r="P260" s="36"/>
      <c r="Q260" s="36"/>
      <c r="R260" s="38"/>
      <c r="S260" s="38"/>
      <c r="T260" s="38"/>
      <c r="U260" s="38"/>
      <c r="V260" s="38"/>
      <c r="W260" s="38"/>
      <c r="X260" s="38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J260" s="36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8"/>
      <c r="CZ260" s="38"/>
      <c r="DA260" s="13"/>
      <c r="DB260" s="13"/>
      <c r="DC260" s="13"/>
      <c r="DD260" s="13"/>
      <c r="DE260" s="13"/>
      <c r="DF260" s="13"/>
      <c r="DG260" s="13"/>
      <c r="DH260" s="13"/>
      <c r="DI260" s="13"/>
    </row>
    <row r="261" spans="2:113" ht="18" customHeight="1" x14ac:dyDescent="0.4">
      <c r="B261" s="27">
        <f t="shared" si="20"/>
        <v>250</v>
      </c>
      <c r="C261" s="28"/>
      <c r="D261" s="29"/>
      <c r="E261" s="29"/>
      <c r="F261" s="30"/>
      <c r="G261" s="31"/>
      <c r="H261" s="45"/>
      <c r="I261" s="32" t="str">
        <f t="shared" si="21"/>
        <v/>
      </c>
      <c r="J261" s="33"/>
      <c r="K261" s="33"/>
      <c r="L261" s="46"/>
      <c r="M261" s="46"/>
      <c r="N261" s="48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  <c r="AK261" s="49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  <c r="BD261" s="49"/>
      <c r="BE261" s="49"/>
      <c r="BF261" s="49"/>
      <c r="BG261" s="49"/>
      <c r="BH261" s="49"/>
      <c r="BI261" s="49"/>
      <c r="BJ261" s="49"/>
      <c r="BK261" s="49"/>
      <c r="BL261" s="49"/>
      <c r="BM261" s="49"/>
      <c r="BN261" s="49"/>
      <c r="BO261" s="49"/>
      <c r="BP261" s="49"/>
      <c r="BQ261" s="49"/>
      <c r="BR261" s="49"/>
      <c r="BS261" s="49"/>
      <c r="BT261" s="49"/>
      <c r="BU261" s="49"/>
      <c r="BV261" s="49"/>
      <c r="BW261" s="49"/>
      <c r="BX261" s="49"/>
      <c r="BY261" s="49"/>
      <c r="BZ261" s="49"/>
      <c r="CA261" s="49"/>
      <c r="CB261" s="49"/>
      <c r="CC261" s="49"/>
      <c r="CD261" s="49"/>
      <c r="CE261" s="49"/>
      <c r="CF261" s="49"/>
      <c r="CG261" s="49"/>
      <c r="CH261" s="49"/>
      <c r="CI261" s="49"/>
      <c r="CJ261" s="49"/>
      <c r="CK261" s="49"/>
      <c r="CL261" s="49"/>
      <c r="CM261" s="49"/>
      <c r="CN261" s="49"/>
      <c r="CO261" s="49"/>
      <c r="CP261" s="49"/>
      <c r="CQ261" s="49"/>
      <c r="CR261" s="49"/>
      <c r="CS261" s="49"/>
      <c r="CT261" s="49"/>
      <c r="CU261" s="49"/>
      <c r="CV261" s="49"/>
      <c r="CW261" s="49"/>
      <c r="CX261" s="49"/>
      <c r="CY261" s="49"/>
      <c r="CZ261" s="49"/>
    </row>
    <row r="262" spans="2:113" ht="18" customHeight="1" x14ac:dyDescent="0.4">
      <c r="B262" s="27">
        <f>ROW()-11</f>
        <v>251</v>
      </c>
      <c r="C262" s="28"/>
      <c r="D262" s="28"/>
      <c r="E262" s="29"/>
      <c r="F262" s="30"/>
      <c r="G262" s="31"/>
      <c r="H262" s="31"/>
      <c r="I262" s="32" t="str">
        <f t="shared" si="21"/>
        <v/>
      </c>
      <c r="J262" s="33"/>
      <c r="K262" s="33"/>
      <c r="L262" s="34"/>
      <c r="M262" s="34"/>
      <c r="N262" s="35"/>
      <c r="O262" s="35"/>
      <c r="P262" s="35"/>
      <c r="Q262" s="35"/>
      <c r="R262" s="36"/>
      <c r="S262" s="36"/>
      <c r="T262" s="36"/>
      <c r="U262" s="36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8"/>
      <c r="CZ262" s="38"/>
      <c r="DA262" s="13"/>
      <c r="DB262" s="13"/>
      <c r="DC262" s="13"/>
      <c r="DD262" s="13"/>
      <c r="DE262" s="13"/>
      <c r="DF262" s="13"/>
      <c r="DG262" s="13"/>
      <c r="DH262" s="13"/>
      <c r="DI262" s="13"/>
    </row>
    <row r="263" spans="2:113" ht="18" customHeight="1" x14ac:dyDescent="0.4">
      <c r="B263" s="27">
        <f t="shared" ref="B263:B311" si="22">ROW()-11</f>
        <v>252</v>
      </c>
      <c r="C263" s="28"/>
      <c r="D263" s="28"/>
      <c r="E263" s="29"/>
      <c r="F263" s="30"/>
      <c r="G263" s="31"/>
      <c r="H263" s="39"/>
      <c r="I263" s="32" t="str">
        <f t="shared" si="21"/>
        <v/>
      </c>
      <c r="J263" s="33"/>
      <c r="K263" s="33"/>
      <c r="L263" s="40"/>
      <c r="M263" s="40"/>
      <c r="N263" s="36"/>
      <c r="O263" s="41"/>
      <c r="P263" s="41"/>
      <c r="Q263" s="41"/>
      <c r="R263" s="38"/>
      <c r="S263" s="38"/>
      <c r="T263" s="38"/>
      <c r="U263" s="38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8"/>
      <c r="CZ263" s="38"/>
      <c r="DA263" s="13"/>
      <c r="DB263" s="13"/>
      <c r="DC263" s="13"/>
      <c r="DD263" s="13"/>
      <c r="DE263" s="13"/>
      <c r="DF263" s="13"/>
      <c r="DG263" s="13"/>
      <c r="DH263" s="13"/>
      <c r="DI263" s="13"/>
    </row>
    <row r="264" spans="2:113" ht="18" customHeight="1" x14ac:dyDescent="0.4">
      <c r="B264" s="27">
        <f t="shared" si="22"/>
        <v>253</v>
      </c>
      <c r="C264" s="28"/>
      <c r="D264" s="28"/>
      <c r="E264" s="29"/>
      <c r="F264" s="30"/>
      <c r="G264" s="31"/>
      <c r="H264" s="43"/>
      <c r="I264" s="32" t="str">
        <f t="shared" si="21"/>
        <v/>
      </c>
      <c r="J264" s="33"/>
      <c r="K264" s="33"/>
      <c r="L264" s="40"/>
      <c r="M264" s="40"/>
      <c r="N264" s="44"/>
      <c r="O264" s="36"/>
      <c r="P264" s="36"/>
      <c r="Q264" s="36"/>
      <c r="R264" s="38"/>
      <c r="S264" s="38"/>
      <c r="T264" s="38"/>
      <c r="U264" s="38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8"/>
      <c r="CZ264" s="38"/>
      <c r="DA264" s="13"/>
      <c r="DB264" s="13"/>
      <c r="DC264" s="13"/>
      <c r="DD264" s="13"/>
      <c r="DE264" s="13"/>
      <c r="DF264" s="13"/>
      <c r="DG264" s="13"/>
      <c r="DH264" s="13"/>
      <c r="DI264" s="13"/>
    </row>
    <row r="265" spans="2:113" ht="18" customHeight="1" x14ac:dyDescent="0.4">
      <c r="B265" s="27">
        <f t="shared" si="22"/>
        <v>254</v>
      </c>
      <c r="C265" s="28"/>
      <c r="D265" s="29"/>
      <c r="E265" s="29"/>
      <c r="F265" s="30"/>
      <c r="G265" s="31"/>
      <c r="H265" s="45"/>
      <c r="I265" s="32" t="str">
        <f t="shared" si="21"/>
        <v/>
      </c>
      <c r="J265" s="33"/>
      <c r="K265" s="33"/>
      <c r="L265" s="46"/>
      <c r="M265" s="46"/>
      <c r="N265" s="44"/>
      <c r="O265" s="36"/>
      <c r="P265" s="36"/>
      <c r="Q265" s="36"/>
      <c r="R265" s="38"/>
      <c r="S265" s="38"/>
      <c r="T265" s="38"/>
      <c r="U265" s="38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8"/>
      <c r="CZ265" s="38"/>
      <c r="DA265" s="13"/>
      <c r="DB265" s="13"/>
      <c r="DC265" s="13"/>
      <c r="DD265" s="13"/>
      <c r="DE265" s="13"/>
      <c r="DF265" s="13"/>
      <c r="DG265" s="13"/>
      <c r="DH265" s="13"/>
      <c r="DI265" s="13"/>
    </row>
    <row r="266" spans="2:113" ht="18" customHeight="1" x14ac:dyDescent="0.4">
      <c r="B266" s="27">
        <f t="shared" si="22"/>
        <v>255</v>
      </c>
      <c r="C266" s="28"/>
      <c r="D266" s="28"/>
      <c r="E266" s="29"/>
      <c r="F266" s="30"/>
      <c r="G266" s="31"/>
      <c r="H266" s="39"/>
      <c r="I266" s="32" t="str">
        <f t="shared" si="21"/>
        <v/>
      </c>
      <c r="J266" s="33"/>
      <c r="K266" s="33"/>
      <c r="L266" s="34"/>
      <c r="M266" s="34"/>
      <c r="N266" s="47"/>
      <c r="O266" s="36"/>
      <c r="P266" s="36"/>
      <c r="Q266" s="36"/>
      <c r="R266" s="38"/>
      <c r="S266" s="38"/>
      <c r="T266" s="38"/>
      <c r="U266" s="38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8"/>
      <c r="CZ266" s="38"/>
      <c r="DA266" s="13"/>
      <c r="DB266" s="13"/>
      <c r="DC266" s="13"/>
      <c r="DD266" s="13"/>
      <c r="DE266" s="13"/>
      <c r="DF266" s="13"/>
      <c r="DG266" s="13"/>
      <c r="DH266" s="13"/>
      <c r="DI266" s="13"/>
    </row>
    <row r="267" spans="2:113" ht="18" customHeight="1" x14ac:dyDescent="0.4">
      <c r="B267" s="27">
        <f t="shared" si="22"/>
        <v>256</v>
      </c>
      <c r="C267" s="28"/>
      <c r="D267" s="28"/>
      <c r="E267" s="29"/>
      <c r="F267" s="30"/>
      <c r="G267" s="31"/>
      <c r="H267" s="43"/>
      <c r="I267" s="32" t="str">
        <f t="shared" si="21"/>
        <v/>
      </c>
      <c r="J267" s="33"/>
      <c r="K267" s="33"/>
      <c r="L267" s="40"/>
      <c r="M267" s="40"/>
      <c r="N267" s="48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49"/>
      <c r="AG267" s="49"/>
      <c r="AH267" s="49"/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/>
      <c r="AY267" s="49"/>
      <c r="AZ267" s="49"/>
      <c r="BA267" s="49"/>
      <c r="BB267" s="49"/>
      <c r="BC267" s="49"/>
      <c r="BD267" s="49"/>
      <c r="BE267" s="49"/>
      <c r="BF267" s="49"/>
      <c r="BG267" s="49"/>
      <c r="BH267" s="49"/>
      <c r="BI267" s="49"/>
      <c r="BJ267" s="49"/>
      <c r="BK267" s="49"/>
      <c r="BL267" s="49"/>
      <c r="BM267" s="49"/>
      <c r="BN267" s="49"/>
      <c r="BO267" s="49"/>
      <c r="BP267" s="49"/>
      <c r="BQ267" s="49"/>
      <c r="BR267" s="49"/>
      <c r="BS267" s="49"/>
      <c r="BT267" s="49"/>
      <c r="BU267" s="49"/>
      <c r="BV267" s="49"/>
      <c r="BW267" s="49"/>
      <c r="BX267" s="49"/>
      <c r="BY267" s="49"/>
      <c r="BZ267" s="49"/>
      <c r="CA267" s="49"/>
      <c r="CB267" s="49"/>
      <c r="CC267" s="49"/>
      <c r="CD267" s="49"/>
      <c r="CE267" s="49"/>
      <c r="CF267" s="49"/>
      <c r="CG267" s="49"/>
      <c r="CH267" s="49"/>
      <c r="CI267" s="49"/>
      <c r="CJ267" s="49"/>
      <c r="CK267" s="49"/>
      <c r="CL267" s="49"/>
      <c r="CM267" s="49"/>
      <c r="CN267" s="49"/>
      <c r="CO267" s="49"/>
      <c r="CP267" s="49"/>
      <c r="CQ267" s="49"/>
      <c r="CR267" s="49"/>
      <c r="CS267" s="49"/>
      <c r="CT267" s="49"/>
      <c r="CU267" s="49"/>
      <c r="CV267" s="49"/>
      <c r="CW267" s="49"/>
      <c r="CX267" s="49"/>
      <c r="CY267" s="49"/>
      <c r="CZ267" s="49"/>
    </row>
    <row r="268" spans="2:113" ht="18" customHeight="1" x14ac:dyDescent="0.4">
      <c r="B268" s="27">
        <f t="shared" si="22"/>
        <v>257</v>
      </c>
      <c r="C268" s="28"/>
      <c r="D268" s="29"/>
      <c r="E268" s="29"/>
      <c r="F268" s="30"/>
      <c r="G268" s="31"/>
      <c r="H268" s="43"/>
      <c r="I268" s="32" t="str">
        <f t="shared" si="21"/>
        <v/>
      </c>
      <c r="J268" s="33"/>
      <c r="K268" s="33"/>
      <c r="L268" s="40"/>
      <c r="M268" s="40"/>
      <c r="N268" s="48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49"/>
      <c r="AG268" s="49"/>
      <c r="AH268" s="49"/>
      <c r="AI268" s="49"/>
      <c r="AJ268" s="49"/>
      <c r="AK268" s="49"/>
      <c r="AL268" s="49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/>
      <c r="AY268" s="49"/>
      <c r="AZ268" s="49"/>
      <c r="BA268" s="49"/>
      <c r="BB268" s="49"/>
      <c r="BC268" s="49"/>
      <c r="BD268" s="49"/>
      <c r="BE268" s="49"/>
      <c r="BF268" s="49"/>
      <c r="BG268" s="49"/>
      <c r="BH268" s="49"/>
      <c r="BI268" s="49"/>
      <c r="BJ268" s="49"/>
      <c r="BK268" s="49"/>
      <c r="BL268" s="49"/>
      <c r="BM268" s="49"/>
      <c r="BN268" s="49"/>
      <c r="BO268" s="49"/>
      <c r="BP268" s="49"/>
      <c r="BQ268" s="49"/>
      <c r="BR268" s="49"/>
      <c r="BS268" s="49"/>
      <c r="BT268" s="49"/>
      <c r="BU268" s="49"/>
      <c r="BV268" s="49"/>
      <c r="BW268" s="49"/>
      <c r="BX268" s="49"/>
      <c r="BY268" s="49"/>
      <c r="BZ268" s="49"/>
      <c r="CA268" s="49"/>
      <c r="CB268" s="49"/>
      <c r="CC268" s="49"/>
      <c r="CD268" s="49"/>
      <c r="CE268" s="49"/>
      <c r="CF268" s="49"/>
      <c r="CG268" s="49"/>
      <c r="CH268" s="49"/>
      <c r="CI268" s="49"/>
      <c r="CJ268" s="49"/>
      <c r="CK268" s="49"/>
      <c r="CL268" s="49"/>
      <c r="CM268" s="49"/>
      <c r="CN268" s="49"/>
      <c r="CO268" s="49"/>
      <c r="CP268" s="49"/>
      <c r="CQ268" s="49"/>
      <c r="CR268" s="49"/>
      <c r="CS268" s="49"/>
      <c r="CT268" s="49"/>
      <c r="CU268" s="49"/>
      <c r="CV268" s="49"/>
      <c r="CW268" s="49"/>
      <c r="CX268" s="49"/>
      <c r="CY268" s="49"/>
      <c r="CZ268" s="49"/>
    </row>
    <row r="269" spans="2:113" ht="18" customHeight="1" x14ac:dyDescent="0.4">
      <c r="B269" s="27">
        <f t="shared" si="22"/>
        <v>258</v>
      </c>
      <c r="C269" s="28"/>
      <c r="D269" s="29"/>
      <c r="E269" s="29"/>
      <c r="F269" s="30"/>
      <c r="G269" s="31"/>
      <c r="H269" s="39"/>
      <c r="I269" s="32" t="str">
        <f t="shared" si="21"/>
        <v/>
      </c>
      <c r="J269" s="33"/>
      <c r="K269" s="33"/>
      <c r="L269" s="40"/>
      <c r="M269" s="40"/>
      <c r="N269" s="36"/>
      <c r="O269" s="36"/>
      <c r="P269" s="36"/>
      <c r="Q269" s="36"/>
      <c r="R269" s="38"/>
      <c r="S269" s="38"/>
      <c r="T269" s="38"/>
      <c r="U269" s="38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8"/>
      <c r="CZ269" s="38"/>
      <c r="DA269" s="13"/>
      <c r="DB269" s="13"/>
      <c r="DC269" s="13"/>
      <c r="DD269" s="13"/>
      <c r="DE269" s="13"/>
      <c r="DF269" s="13"/>
      <c r="DG269" s="13"/>
      <c r="DH269" s="13"/>
      <c r="DI269" s="13"/>
    </row>
    <row r="270" spans="2:113" ht="18" customHeight="1" x14ac:dyDescent="0.4">
      <c r="B270" s="27">
        <f t="shared" si="22"/>
        <v>259</v>
      </c>
      <c r="C270" s="28"/>
      <c r="D270" s="29"/>
      <c r="E270" s="29"/>
      <c r="F270" s="30"/>
      <c r="G270" s="31"/>
      <c r="H270" s="43"/>
      <c r="I270" s="32" t="str">
        <f t="shared" si="21"/>
        <v/>
      </c>
      <c r="J270" s="33"/>
      <c r="K270" s="33"/>
      <c r="L270" s="40"/>
      <c r="M270" s="40"/>
      <c r="N270" s="44"/>
      <c r="O270" s="36"/>
      <c r="P270" s="36"/>
      <c r="Q270" s="36"/>
      <c r="R270" s="36"/>
      <c r="S270" s="36"/>
      <c r="T270" s="38"/>
      <c r="U270" s="38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8"/>
      <c r="CZ270" s="38"/>
      <c r="DA270" s="13"/>
      <c r="DB270" s="13"/>
      <c r="DC270" s="13"/>
      <c r="DD270" s="13"/>
      <c r="DE270" s="13"/>
      <c r="DF270" s="13"/>
      <c r="DG270" s="13"/>
      <c r="DH270" s="13"/>
      <c r="DI270" s="13"/>
    </row>
    <row r="271" spans="2:113" ht="18" customHeight="1" x14ac:dyDescent="0.4">
      <c r="B271" s="27">
        <f t="shared" si="22"/>
        <v>260</v>
      </c>
      <c r="C271" s="28"/>
      <c r="D271" s="28"/>
      <c r="E271" s="29"/>
      <c r="F271" s="30"/>
      <c r="G271" s="31"/>
      <c r="H271" s="39"/>
      <c r="I271" s="32" t="str">
        <f t="shared" si="21"/>
        <v/>
      </c>
      <c r="J271" s="33"/>
      <c r="K271" s="33"/>
      <c r="L271" s="40"/>
      <c r="M271" s="40"/>
      <c r="N271" s="41"/>
      <c r="O271" s="36"/>
      <c r="P271" s="36"/>
      <c r="Q271" s="41"/>
      <c r="R271" s="38"/>
      <c r="S271" s="38"/>
      <c r="T271" s="38"/>
      <c r="U271" s="38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8"/>
      <c r="CZ271" s="38"/>
      <c r="DA271" s="13"/>
      <c r="DB271" s="13"/>
      <c r="DC271" s="13"/>
      <c r="DD271" s="13"/>
      <c r="DE271" s="13"/>
      <c r="DF271" s="13"/>
      <c r="DG271" s="13"/>
      <c r="DH271" s="13"/>
      <c r="DI271" s="13"/>
    </row>
    <row r="272" spans="2:113" ht="18" customHeight="1" x14ac:dyDescent="0.4">
      <c r="B272" s="27">
        <f t="shared" si="22"/>
        <v>261</v>
      </c>
      <c r="C272" s="28"/>
      <c r="D272" s="28"/>
      <c r="E272" s="29"/>
      <c r="F272" s="30"/>
      <c r="G272" s="31"/>
      <c r="H272" s="39"/>
      <c r="I272" s="32" t="str">
        <f t="shared" si="21"/>
        <v/>
      </c>
      <c r="J272" s="33"/>
      <c r="K272" s="33"/>
      <c r="L272" s="40"/>
      <c r="M272" s="40"/>
      <c r="N272" s="36"/>
      <c r="O272" s="36"/>
      <c r="P272" s="36"/>
      <c r="Q272" s="36"/>
      <c r="R272" s="38"/>
      <c r="S272" s="38"/>
      <c r="T272" s="38"/>
      <c r="U272" s="38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6"/>
      <c r="BG272" s="36"/>
      <c r="BH272" s="36"/>
      <c r="BI272" s="36"/>
      <c r="BJ272" s="50"/>
      <c r="BK272" s="50"/>
      <c r="BL272" s="50"/>
      <c r="BM272" s="50"/>
      <c r="BN272" s="50"/>
      <c r="BO272" s="36"/>
      <c r="BP272" s="36"/>
      <c r="BQ272" s="39"/>
      <c r="BR272" s="39"/>
      <c r="BS272" s="39"/>
      <c r="BT272" s="39"/>
      <c r="BU272" s="39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8"/>
      <c r="CZ272" s="38"/>
      <c r="DA272" s="13"/>
      <c r="DB272" s="13"/>
      <c r="DC272" s="13"/>
      <c r="DD272" s="13"/>
      <c r="DE272" s="13"/>
      <c r="DF272" s="13"/>
      <c r="DG272" s="13"/>
      <c r="DH272" s="13"/>
      <c r="DI272" s="13"/>
    </row>
    <row r="273" spans="2:113" ht="18" customHeight="1" x14ac:dyDescent="0.4">
      <c r="B273" s="27">
        <f t="shared" si="22"/>
        <v>262</v>
      </c>
      <c r="C273" s="28"/>
      <c r="D273" s="28"/>
      <c r="E273" s="29"/>
      <c r="F273" s="30"/>
      <c r="G273" s="31"/>
      <c r="H273" s="43"/>
      <c r="I273" s="32" t="str">
        <f t="shared" si="21"/>
        <v/>
      </c>
      <c r="J273" s="33"/>
      <c r="K273" s="33"/>
      <c r="L273" s="40"/>
      <c r="M273" s="40"/>
      <c r="N273" s="47"/>
      <c r="O273" s="36"/>
      <c r="P273" s="36"/>
      <c r="Q273" s="36"/>
      <c r="R273" s="38"/>
      <c r="S273" s="38"/>
      <c r="T273" s="38"/>
      <c r="U273" s="38"/>
      <c r="V273" s="42"/>
      <c r="W273" s="42"/>
      <c r="X273" s="42"/>
      <c r="Y273" s="42"/>
      <c r="Z273" s="42"/>
      <c r="AA273" s="37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8"/>
      <c r="CZ273" s="38"/>
      <c r="DA273" s="13"/>
      <c r="DB273" s="13"/>
      <c r="DC273" s="13"/>
      <c r="DD273" s="13"/>
      <c r="DE273" s="13"/>
      <c r="DF273" s="13"/>
      <c r="DG273" s="13"/>
      <c r="DH273" s="13"/>
      <c r="DI273" s="13"/>
    </row>
    <row r="274" spans="2:113" ht="18" customHeight="1" x14ac:dyDescent="0.4">
      <c r="B274" s="27">
        <f t="shared" si="22"/>
        <v>263</v>
      </c>
      <c r="C274" s="28"/>
      <c r="D274" s="29"/>
      <c r="E274" s="29"/>
      <c r="F274" s="30"/>
      <c r="G274" s="31"/>
      <c r="H274" s="39"/>
      <c r="I274" s="32" t="str">
        <f t="shared" si="21"/>
        <v/>
      </c>
      <c r="J274" s="33"/>
      <c r="K274" s="33"/>
      <c r="L274" s="40"/>
      <c r="M274" s="40"/>
      <c r="N274" s="44"/>
      <c r="O274" s="36"/>
      <c r="P274" s="36"/>
      <c r="Q274" s="36"/>
      <c r="R274" s="36"/>
      <c r="S274" s="36"/>
      <c r="T274" s="38"/>
      <c r="U274" s="38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8"/>
      <c r="CZ274" s="38"/>
      <c r="DA274" s="13"/>
      <c r="DB274" s="13"/>
      <c r="DC274" s="13"/>
      <c r="DD274" s="13"/>
      <c r="DE274" s="13"/>
      <c r="DF274" s="13"/>
      <c r="DG274" s="13"/>
      <c r="DH274" s="13"/>
      <c r="DI274" s="13"/>
    </row>
    <row r="275" spans="2:113" ht="18" customHeight="1" x14ac:dyDescent="0.4">
      <c r="B275" s="27">
        <f t="shared" si="22"/>
        <v>264</v>
      </c>
      <c r="C275" s="28"/>
      <c r="D275" s="51"/>
      <c r="E275" s="29"/>
      <c r="F275" s="30"/>
      <c r="G275" s="31"/>
      <c r="H275" s="39"/>
      <c r="I275" s="32" t="str">
        <f t="shared" si="21"/>
        <v/>
      </c>
      <c r="J275" s="33"/>
      <c r="K275" s="33"/>
      <c r="L275" s="34"/>
      <c r="M275" s="34"/>
      <c r="N275" s="48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  <c r="AK275" s="49"/>
      <c r="AL275" s="49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/>
      <c r="AY275" s="49"/>
      <c r="AZ275" s="49"/>
      <c r="BA275" s="49"/>
      <c r="BB275" s="49"/>
      <c r="BC275" s="49"/>
      <c r="BD275" s="49"/>
      <c r="BE275" s="49"/>
      <c r="BF275" s="49"/>
      <c r="BG275" s="49"/>
      <c r="BH275" s="49"/>
      <c r="BI275" s="49"/>
      <c r="BJ275" s="49"/>
      <c r="BK275" s="49"/>
      <c r="BL275" s="49"/>
      <c r="BM275" s="49"/>
      <c r="BN275" s="49"/>
      <c r="BO275" s="49"/>
      <c r="BP275" s="49"/>
      <c r="BQ275" s="49"/>
      <c r="BR275" s="49"/>
      <c r="BS275" s="49"/>
      <c r="BT275" s="49"/>
      <c r="BU275" s="49"/>
      <c r="BV275" s="49"/>
      <c r="BW275" s="49"/>
      <c r="BX275" s="49"/>
      <c r="BY275" s="49"/>
      <c r="BZ275" s="49"/>
      <c r="CA275" s="49"/>
      <c r="CB275" s="49"/>
      <c r="CC275" s="49"/>
      <c r="CD275" s="49"/>
      <c r="CE275" s="49"/>
      <c r="CF275" s="49"/>
      <c r="CG275" s="49"/>
      <c r="CH275" s="49"/>
      <c r="CI275" s="49"/>
      <c r="CJ275" s="49"/>
      <c r="CK275" s="49"/>
      <c r="CL275" s="49"/>
      <c r="CM275" s="49"/>
      <c r="CN275" s="49"/>
      <c r="CO275" s="49"/>
      <c r="CP275" s="49"/>
      <c r="CQ275" s="49"/>
      <c r="CR275" s="49"/>
      <c r="CS275" s="49"/>
      <c r="CT275" s="49"/>
      <c r="CU275" s="49"/>
      <c r="CV275" s="49"/>
      <c r="CW275" s="49"/>
      <c r="CX275" s="49"/>
      <c r="CY275" s="49"/>
      <c r="CZ275" s="49"/>
    </row>
    <row r="276" spans="2:113" ht="18" customHeight="1" x14ac:dyDescent="0.4">
      <c r="B276" s="27">
        <f t="shared" si="22"/>
        <v>265</v>
      </c>
      <c r="C276" s="28"/>
      <c r="D276" s="29"/>
      <c r="E276" s="29"/>
      <c r="F276" s="30"/>
      <c r="G276" s="31"/>
      <c r="H276" s="39"/>
      <c r="I276" s="32" t="str">
        <f t="shared" si="21"/>
        <v/>
      </c>
      <c r="J276" s="33"/>
      <c r="K276" s="33"/>
      <c r="L276" s="34"/>
      <c r="M276" s="34"/>
      <c r="N276" s="36"/>
      <c r="O276" s="36"/>
      <c r="P276" s="36"/>
      <c r="Q276" s="36"/>
      <c r="R276" s="38"/>
      <c r="S276" s="38"/>
      <c r="T276" s="36"/>
      <c r="U276" s="36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8"/>
      <c r="CZ276" s="38"/>
      <c r="DA276" s="13"/>
      <c r="DB276" s="13"/>
      <c r="DC276" s="13"/>
      <c r="DD276" s="13"/>
      <c r="DE276" s="13"/>
      <c r="DF276" s="13"/>
      <c r="DG276" s="13"/>
      <c r="DH276" s="13"/>
      <c r="DI276" s="13"/>
    </row>
    <row r="277" spans="2:113" ht="18" customHeight="1" x14ac:dyDescent="0.4">
      <c r="B277" s="27">
        <f t="shared" si="22"/>
        <v>266</v>
      </c>
      <c r="C277" s="28"/>
      <c r="D277" s="29"/>
      <c r="E277" s="29"/>
      <c r="F277" s="30"/>
      <c r="G277" s="31"/>
      <c r="H277" s="39"/>
      <c r="I277" s="32" t="str">
        <f t="shared" si="21"/>
        <v/>
      </c>
      <c r="J277" s="33"/>
      <c r="K277" s="33"/>
      <c r="L277" s="34"/>
      <c r="M277" s="34"/>
      <c r="N277" s="44"/>
      <c r="O277" s="36"/>
      <c r="P277" s="36"/>
      <c r="Q277" s="36"/>
      <c r="R277" s="38"/>
      <c r="S277" s="38"/>
      <c r="T277" s="38"/>
      <c r="U277" s="38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8"/>
      <c r="CZ277" s="38"/>
      <c r="DA277" s="13"/>
      <c r="DB277" s="13"/>
      <c r="DC277" s="13"/>
      <c r="DD277" s="13"/>
      <c r="DE277" s="13"/>
      <c r="DF277" s="13"/>
      <c r="DG277" s="13"/>
      <c r="DH277" s="13"/>
      <c r="DI277" s="13"/>
    </row>
    <row r="278" spans="2:113" ht="18" customHeight="1" x14ac:dyDescent="0.4">
      <c r="B278" s="27">
        <f t="shared" si="22"/>
        <v>267</v>
      </c>
      <c r="C278" s="28"/>
      <c r="D278" s="29"/>
      <c r="E278" s="29"/>
      <c r="F278" s="30"/>
      <c r="G278" s="31"/>
      <c r="H278" s="43"/>
      <c r="I278" s="32" t="str">
        <f t="shared" si="21"/>
        <v/>
      </c>
      <c r="J278" s="33"/>
      <c r="K278" s="33"/>
      <c r="L278" s="34"/>
      <c r="M278" s="34"/>
      <c r="N278" s="44"/>
      <c r="O278" s="36"/>
      <c r="P278" s="36"/>
      <c r="Q278" s="36"/>
      <c r="R278" s="36"/>
      <c r="S278" s="36"/>
      <c r="T278" s="38"/>
      <c r="U278" s="38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8"/>
      <c r="CZ278" s="38"/>
      <c r="DA278" s="13"/>
      <c r="DB278" s="13"/>
      <c r="DC278" s="13"/>
      <c r="DD278" s="13"/>
      <c r="DE278" s="13"/>
      <c r="DF278" s="13"/>
      <c r="DG278" s="13"/>
      <c r="DH278" s="13"/>
      <c r="DI278" s="13"/>
    </row>
    <row r="279" spans="2:113" ht="18" customHeight="1" x14ac:dyDescent="0.4">
      <c r="B279" s="27">
        <f t="shared" si="22"/>
        <v>268</v>
      </c>
      <c r="C279" s="28"/>
      <c r="D279" s="29"/>
      <c r="E279" s="29"/>
      <c r="F279" s="30"/>
      <c r="G279" s="31"/>
      <c r="H279" s="39"/>
      <c r="I279" s="32" t="str">
        <f t="shared" si="21"/>
        <v/>
      </c>
      <c r="J279" s="33"/>
      <c r="K279" s="33"/>
      <c r="L279" s="40"/>
      <c r="M279" s="40"/>
      <c r="N279" s="44"/>
      <c r="O279" s="36"/>
      <c r="P279" s="36"/>
      <c r="Q279" s="36"/>
      <c r="R279" s="36"/>
      <c r="S279" s="36"/>
      <c r="T279" s="38"/>
      <c r="U279" s="38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8"/>
      <c r="CZ279" s="38"/>
      <c r="DA279" s="13"/>
      <c r="DB279" s="13"/>
      <c r="DC279" s="13"/>
      <c r="DD279" s="13"/>
      <c r="DE279" s="13"/>
      <c r="DF279" s="13"/>
      <c r="DG279" s="13"/>
      <c r="DH279" s="13"/>
      <c r="DI279" s="13"/>
    </row>
    <row r="280" spans="2:113" ht="18" customHeight="1" x14ac:dyDescent="0.4">
      <c r="B280" s="27">
        <f t="shared" si="22"/>
        <v>269</v>
      </c>
      <c r="C280" s="28"/>
      <c r="D280" s="29"/>
      <c r="E280" s="29"/>
      <c r="F280" s="30"/>
      <c r="G280" s="31"/>
      <c r="H280" s="39"/>
      <c r="I280" s="32" t="str">
        <f t="shared" si="21"/>
        <v/>
      </c>
      <c r="J280" s="33"/>
      <c r="K280" s="33"/>
      <c r="L280" s="34"/>
      <c r="M280" s="34"/>
      <c r="N280" s="36"/>
      <c r="O280" s="36"/>
      <c r="P280" s="36"/>
      <c r="Q280" s="36"/>
      <c r="R280" s="38"/>
      <c r="S280" s="38"/>
      <c r="T280" s="36"/>
      <c r="U280" s="36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8"/>
      <c r="CZ280" s="38"/>
      <c r="DA280" s="13"/>
      <c r="DB280" s="13"/>
      <c r="DC280" s="13"/>
      <c r="DD280" s="13"/>
      <c r="DE280" s="13"/>
      <c r="DF280" s="13"/>
      <c r="DG280" s="13"/>
      <c r="DH280" s="13"/>
      <c r="DI280" s="13"/>
    </row>
    <row r="281" spans="2:113" ht="18" customHeight="1" x14ac:dyDescent="0.4">
      <c r="B281" s="27">
        <f t="shared" si="22"/>
        <v>270</v>
      </c>
      <c r="C281" s="28"/>
      <c r="D281" s="28"/>
      <c r="E281" s="29"/>
      <c r="F281" s="30"/>
      <c r="G281" s="31"/>
      <c r="H281" s="39"/>
      <c r="I281" s="32" t="str">
        <f t="shared" si="21"/>
        <v/>
      </c>
      <c r="J281" s="33"/>
      <c r="K281" s="33"/>
      <c r="L281" s="40"/>
      <c r="M281" s="40"/>
      <c r="N281" s="36"/>
      <c r="O281" s="36"/>
      <c r="P281" s="36"/>
      <c r="Q281" s="36"/>
      <c r="R281" s="38"/>
      <c r="S281" s="38"/>
      <c r="T281" s="36"/>
      <c r="U281" s="36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8"/>
      <c r="CZ281" s="38"/>
      <c r="DA281" s="13"/>
      <c r="DB281" s="13"/>
      <c r="DC281" s="13"/>
      <c r="DD281" s="13"/>
      <c r="DE281" s="13"/>
      <c r="DF281" s="13"/>
      <c r="DG281" s="13"/>
      <c r="DH281" s="13"/>
      <c r="DI281" s="13"/>
    </row>
    <row r="282" spans="2:113" ht="18" customHeight="1" x14ac:dyDescent="0.4">
      <c r="B282" s="27">
        <f t="shared" si="22"/>
        <v>271</v>
      </c>
      <c r="C282" s="28"/>
      <c r="D282" s="29"/>
      <c r="E282" s="29"/>
      <c r="F282" s="30"/>
      <c r="G282" s="31"/>
      <c r="H282" s="39"/>
      <c r="I282" s="32" t="str">
        <f t="shared" si="21"/>
        <v/>
      </c>
      <c r="J282" s="33"/>
      <c r="K282" s="33"/>
      <c r="L282" s="40"/>
      <c r="M282" s="40"/>
      <c r="N282" s="36"/>
      <c r="O282" s="36"/>
      <c r="P282" s="36"/>
      <c r="Q282" s="36"/>
      <c r="R282" s="38"/>
      <c r="S282" s="38"/>
      <c r="T282" s="36"/>
      <c r="U282" s="36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8"/>
      <c r="CZ282" s="38"/>
      <c r="DA282" s="13"/>
      <c r="DB282" s="13"/>
      <c r="DC282" s="13"/>
      <c r="DD282" s="13"/>
      <c r="DE282" s="13"/>
      <c r="DF282" s="13"/>
      <c r="DG282" s="13"/>
      <c r="DH282" s="13"/>
      <c r="DI282" s="13"/>
    </row>
    <row r="283" spans="2:113" ht="18" customHeight="1" x14ac:dyDescent="0.4">
      <c r="B283" s="27">
        <f t="shared" si="22"/>
        <v>272</v>
      </c>
      <c r="C283" s="28"/>
      <c r="D283" s="29"/>
      <c r="E283" s="29"/>
      <c r="F283" s="30"/>
      <c r="G283" s="31"/>
      <c r="H283" s="39"/>
      <c r="I283" s="32" t="str">
        <f t="shared" si="21"/>
        <v/>
      </c>
      <c r="J283" s="33"/>
      <c r="K283" s="33"/>
      <c r="L283" s="40"/>
      <c r="M283" s="40"/>
      <c r="N283" s="36"/>
      <c r="O283" s="36"/>
      <c r="P283" s="36"/>
      <c r="Q283" s="36"/>
      <c r="R283" s="38"/>
      <c r="S283" s="38"/>
      <c r="T283" s="36"/>
      <c r="U283" s="36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8"/>
      <c r="CZ283" s="38"/>
      <c r="DA283" s="13"/>
      <c r="DB283" s="13"/>
      <c r="DC283" s="13"/>
      <c r="DD283" s="13"/>
      <c r="DE283" s="13"/>
      <c r="DF283" s="13"/>
      <c r="DG283" s="13"/>
      <c r="DH283" s="13"/>
      <c r="DI283" s="13"/>
    </row>
    <row r="284" spans="2:113" ht="18" customHeight="1" x14ac:dyDescent="0.4">
      <c r="B284" s="27">
        <f t="shared" si="22"/>
        <v>273</v>
      </c>
      <c r="C284" s="28"/>
      <c r="D284" s="29"/>
      <c r="E284" s="29"/>
      <c r="F284" s="30"/>
      <c r="G284" s="31"/>
      <c r="H284" s="39"/>
      <c r="I284" s="32" t="str">
        <f t="shared" si="21"/>
        <v/>
      </c>
      <c r="J284" s="33"/>
      <c r="K284" s="33"/>
      <c r="L284" s="34"/>
      <c r="M284" s="34"/>
      <c r="N284" s="36"/>
      <c r="O284" s="36"/>
      <c r="P284" s="36"/>
      <c r="Q284" s="36"/>
      <c r="R284" s="38"/>
      <c r="S284" s="38"/>
      <c r="T284" s="38"/>
      <c r="U284" s="38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50"/>
      <c r="BY284" s="50"/>
      <c r="BZ284" s="50"/>
      <c r="CA284" s="50"/>
      <c r="CB284" s="50"/>
      <c r="CC284" s="36"/>
      <c r="CD284" s="36"/>
      <c r="CE284" s="50"/>
      <c r="CF284" s="50"/>
      <c r="CG284" s="50"/>
      <c r="CH284" s="50"/>
      <c r="CI284" s="50"/>
      <c r="CJ284" s="36"/>
      <c r="CK284" s="36"/>
      <c r="CL284" s="50"/>
      <c r="CM284" s="50"/>
      <c r="CN284" s="50"/>
      <c r="CO284" s="50"/>
      <c r="CP284" s="50"/>
      <c r="CQ284" s="36"/>
      <c r="CR284" s="36"/>
      <c r="CS284" s="39"/>
      <c r="CT284" s="39"/>
      <c r="CU284" s="39"/>
      <c r="CV284" s="39"/>
      <c r="CW284" s="39"/>
      <c r="CX284" s="36"/>
      <c r="CY284" s="38"/>
      <c r="CZ284" s="38"/>
      <c r="DA284" s="13"/>
      <c r="DB284" s="13"/>
      <c r="DC284" s="13"/>
      <c r="DD284" s="13"/>
      <c r="DE284" s="13"/>
      <c r="DF284" s="13"/>
      <c r="DG284" s="13"/>
      <c r="DH284" s="13"/>
      <c r="DI284" s="13"/>
    </row>
    <row r="285" spans="2:113" ht="18" customHeight="1" x14ac:dyDescent="0.4">
      <c r="B285" s="27">
        <f t="shared" si="22"/>
        <v>274</v>
      </c>
      <c r="C285" s="28"/>
      <c r="D285" s="29"/>
      <c r="E285" s="29"/>
      <c r="F285" s="30"/>
      <c r="G285" s="31"/>
      <c r="H285" s="43"/>
      <c r="I285" s="32" t="str">
        <f t="shared" si="21"/>
        <v/>
      </c>
      <c r="J285" s="33"/>
      <c r="K285" s="33"/>
      <c r="L285" s="40"/>
      <c r="M285" s="40"/>
      <c r="N285" s="36"/>
      <c r="O285" s="36"/>
      <c r="P285" s="36"/>
      <c r="Q285" s="36"/>
      <c r="R285" s="38"/>
      <c r="S285" s="38"/>
      <c r="T285" s="38"/>
      <c r="U285" s="38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50"/>
      <c r="BG285" s="50"/>
      <c r="BH285" s="36"/>
      <c r="BI285" s="36"/>
      <c r="BJ285" s="50"/>
      <c r="BK285" s="50"/>
      <c r="BL285" s="50"/>
      <c r="BM285" s="50"/>
      <c r="BN285" s="50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8"/>
      <c r="CZ285" s="38"/>
      <c r="DA285" s="13"/>
      <c r="DB285" s="13"/>
      <c r="DC285" s="13"/>
      <c r="DD285" s="13"/>
      <c r="DE285" s="13"/>
      <c r="DF285" s="13"/>
      <c r="DG285" s="13"/>
      <c r="DH285" s="13"/>
      <c r="DI285" s="13"/>
    </row>
    <row r="286" spans="2:113" ht="18" customHeight="1" x14ac:dyDescent="0.4">
      <c r="B286" s="27">
        <f t="shared" si="22"/>
        <v>275</v>
      </c>
      <c r="C286" s="28"/>
      <c r="D286" s="29"/>
      <c r="E286" s="29"/>
      <c r="F286" s="30"/>
      <c r="G286" s="31"/>
      <c r="H286" s="39"/>
      <c r="I286" s="32" t="str">
        <f t="shared" si="21"/>
        <v/>
      </c>
      <c r="J286" s="33"/>
      <c r="K286" s="33"/>
      <c r="L286" s="40"/>
      <c r="M286" s="40"/>
      <c r="N286" s="36"/>
      <c r="O286" s="36"/>
      <c r="P286" s="36"/>
      <c r="Q286" s="36"/>
      <c r="R286" s="38"/>
      <c r="S286" s="38"/>
      <c r="T286" s="52"/>
      <c r="U286" s="5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39"/>
      <c r="BG286" s="39"/>
      <c r="BH286" s="36"/>
      <c r="BI286" s="36"/>
      <c r="BJ286" s="39"/>
      <c r="BK286" s="39"/>
      <c r="BL286" s="39"/>
      <c r="BM286" s="39"/>
      <c r="BN286" s="39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8"/>
      <c r="CZ286" s="38"/>
      <c r="DA286" s="13"/>
      <c r="DB286" s="13"/>
      <c r="DC286" s="13"/>
      <c r="DD286" s="13"/>
      <c r="DE286" s="13"/>
      <c r="DF286" s="13"/>
      <c r="DG286" s="13"/>
      <c r="DH286" s="13"/>
      <c r="DI286" s="13"/>
    </row>
    <row r="287" spans="2:113" ht="18" customHeight="1" x14ac:dyDescent="0.4">
      <c r="B287" s="27">
        <f t="shared" si="22"/>
        <v>276</v>
      </c>
      <c r="C287" s="28"/>
      <c r="D287" s="28"/>
      <c r="E287" s="29"/>
      <c r="F287" s="30"/>
      <c r="G287" s="31"/>
      <c r="H287" s="43"/>
      <c r="I287" s="32" t="str">
        <f t="shared" si="21"/>
        <v/>
      </c>
      <c r="J287" s="33"/>
      <c r="K287" s="33"/>
      <c r="L287" s="34"/>
      <c r="M287" s="34"/>
      <c r="N287" s="44"/>
      <c r="O287" s="36"/>
      <c r="P287" s="36"/>
      <c r="Q287" s="36"/>
      <c r="R287" s="36"/>
      <c r="S287" s="36"/>
      <c r="T287" s="38"/>
      <c r="U287" s="38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8"/>
      <c r="CZ287" s="38"/>
      <c r="DA287" s="13"/>
      <c r="DB287" s="13"/>
      <c r="DC287" s="13"/>
      <c r="DD287" s="13"/>
      <c r="DE287" s="13"/>
      <c r="DF287" s="13"/>
      <c r="DG287" s="13"/>
      <c r="DH287" s="13"/>
      <c r="DI287" s="13"/>
    </row>
    <row r="288" spans="2:113" ht="18" customHeight="1" x14ac:dyDescent="0.4">
      <c r="B288" s="27">
        <f t="shared" si="22"/>
        <v>277</v>
      </c>
      <c r="C288" s="28"/>
      <c r="D288" s="29"/>
      <c r="E288" s="29"/>
      <c r="F288" s="30"/>
      <c r="G288" s="31"/>
      <c r="H288" s="45"/>
      <c r="I288" s="32" t="str">
        <f t="shared" si="21"/>
        <v/>
      </c>
      <c r="J288" s="33"/>
      <c r="K288" s="33"/>
      <c r="L288" s="46"/>
      <c r="M288" s="46"/>
      <c r="N288" s="36"/>
      <c r="O288" s="36"/>
      <c r="P288" s="36"/>
      <c r="Q288" s="36"/>
      <c r="R288" s="38"/>
      <c r="S288" s="38"/>
      <c r="T288" s="52"/>
      <c r="U288" s="5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8"/>
      <c r="CZ288" s="38"/>
      <c r="DA288" s="13"/>
      <c r="DB288" s="13"/>
      <c r="DC288" s="13"/>
      <c r="DD288" s="13"/>
      <c r="DE288" s="13"/>
      <c r="DF288" s="13"/>
      <c r="DG288" s="13"/>
      <c r="DH288" s="13"/>
      <c r="DI288" s="13"/>
    </row>
    <row r="289" spans="2:113" ht="18" customHeight="1" x14ac:dyDescent="0.4">
      <c r="B289" s="27">
        <f t="shared" si="22"/>
        <v>278</v>
      </c>
      <c r="C289" s="28"/>
      <c r="D289" s="29"/>
      <c r="E289" s="29"/>
      <c r="F289" s="30"/>
      <c r="G289" s="31"/>
      <c r="H289" s="45"/>
      <c r="I289" s="32" t="str">
        <f t="shared" si="21"/>
        <v/>
      </c>
      <c r="J289" s="33"/>
      <c r="K289" s="33"/>
      <c r="L289" s="46"/>
      <c r="M289" s="46"/>
      <c r="N289" s="41"/>
      <c r="O289" s="36"/>
      <c r="P289" s="36"/>
      <c r="Q289" s="41"/>
      <c r="R289" s="38"/>
      <c r="S289" s="38"/>
      <c r="T289" s="38"/>
      <c r="U289" s="38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37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8"/>
      <c r="CZ289" s="38"/>
      <c r="DA289" s="13"/>
      <c r="DB289" s="13"/>
      <c r="DC289" s="13"/>
      <c r="DD289" s="13"/>
      <c r="DE289" s="13"/>
      <c r="DF289" s="13"/>
      <c r="DG289" s="13"/>
      <c r="DH289" s="13"/>
      <c r="DI289" s="13"/>
    </row>
    <row r="290" spans="2:113" ht="18" customHeight="1" x14ac:dyDescent="0.4">
      <c r="B290" s="27">
        <f t="shared" si="22"/>
        <v>279</v>
      </c>
      <c r="C290" s="28"/>
      <c r="D290" s="28"/>
      <c r="E290" s="29"/>
      <c r="F290" s="30"/>
      <c r="G290" s="31"/>
      <c r="H290" s="43"/>
      <c r="I290" s="32" t="str">
        <f t="shared" si="21"/>
        <v/>
      </c>
      <c r="J290" s="33"/>
      <c r="K290" s="33"/>
      <c r="L290" s="34"/>
      <c r="M290" s="34"/>
      <c r="N290" s="36"/>
      <c r="O290" s="36"/>
      <c r="P290" s="36"/>
      <c r="Q290" s="36"/>
      <c r="R290" s="38"/>
      <c r="S290" s="38"/>
      <c r="T290" s="38"/>
      <c r="U290" s="38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8"/>
      <c r="CZ290" s="38"/>
      <c r="DA290" s="13"/>
      <c r="DB290" s="13"/>
      <c r="DC290" s="13"/>
      <c r="DD290" s="13"/>
      <c r="DE290" s="13"/>
      <c r="DF290" s="13"/>
      <c r="DG290" s="13"/>
      <c r="DH290" s="13"/>
      <c r="DI290" s="13"/>
    </row>
    <row r="291" spans="2:113" ht="18" customHeight="1" x14ac:dyDescent="0.4">
      <c r="B291" s="27">
        <f t="shared" si="22"/>
        <v>280</v>
      </c>
      <c r="C291" s="28"/>
      <c r="D291" s="28"/>
      <c r="E291" s="29"/>
      <c r="F291" s="30"/>
      <c r="G291" s="31"/>
      <c r="H291" s="39"/>
      <c r="I291" s="32" t="str">
        <f t="shared" si="21"/>
        <v/>
      </c>
      <c r="J291" s="33"/>
      <c r="K291" s="33"/>
      <c r="L291" s="34"/>
      <c r="M291" s="34"/>
      <c r="N291" s="47"/>
      <c r="O291" s="36"/>
      <c r="P291" s="36"/>
      <c r="Q291" s="36"/>
      <c r="R291" s="38"/>
      <c r="S291" s="38"/>
      <c r="T291" s="38"/>
      <c r="U291" s="38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8"/>
      <c r="CZ291" s="38"/>
      <c r="DA291" s="13"/>
      <c r="DB291" s="13"/>
      <c r="DC291" s="13"/>
      <c r="DD291" s="13"/>
      <c r="DE291" s="13"/>
      <c r="DF291" s="13"/>
      <c r="DG291" s="13"/>
      <c r="DH291" s="13"/>
      <c r="DI291" s="13"/>
    </row>
    <row r="292" spans="2:113" ht="18" customHeight="1" x14ac:dyDescent="0.4">
      <c r="B292" s="27">
        <f t="shared" si="22"/>
        <v>281</v>
      </c>
      <c r="C292" s="28"/>
      <c r="D292" s="28"/>
      <c r="E292" s="29"/>
      <c r="F292" s="30"/>
      <c r="G292" s="31"/>
      <c r="H292" s="43"/>
      <c r="I292" s="32" t="str">
        <f t="shared" si="21"/>
        <v/>
      </c>
      <c r="J292" s="33"/>
      <c r="K292" s="33"/>
      <c r="L292" s="34"/>
      <c r="M292" s="34"/>
      <c r="N292" s="36"/>
      <c r="O292" s="36"/>
      <c r="P292" s="36"/>
      <c r="Q292" s="36"/>
      <c r="R292" s="38"/>
      <c r="S292" s="38"/>
      <c r="T292" s="53"/>
      <c r="U292" s="53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8"/>
      <c r="CZ292" s="38"/>
      <c r="DA292" s="13"/>
      <c r="DB292" s="13"/>
      <c r="DC292" s="13"/>
      <c r="DD292" s="13"/>
      <c r="DE292" s="13"/>
      <c r="DF292" s="13"/>
      <c r="DG292" s="13"/>
      <c r="DH292" s="13"/>
      <c r="DI292" s="13"/>
    </row>
    <row r="293" spans="2:113" ht="18" customHeight="1" x14ac:dyDescent="0.4">
      <c r="B293" s="27">
        <f t="shared" si="22"/>
        <v>282</v>
      </c>
      <c r="C293" s="28"/>
      <c r="D293" s="29"/>
      <c r="E293" s="29"/>
      <c r="F293" s="30"/>
      <c r="G293" s="31"/>
      <c r="H293" s="39"/>
      <c r="I293" s="32" t="str">
        <f t="shared" si="21"/>
        <v/>
      </c>
      <c r="J293" s="33"/>
      <c r="K293" s="33"/>
      <c r="L293" s="34"/>
      <c r="M293" s="34"/>
      <c r="N293" s="44"/>
      <c r="O293" s="36"/>
      <c r="P293" s="36"/>
      <c r="Q293" s="36"/>
      <c r="R293" s="38"/>
      <c r="S293" s="38"/>
      <c r="T293" s="38"/>
      <c r="U293" s="38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8"/>
      <c r="CZ293" s="38"/>
      <c r="DA293" s="13"/>
      <c r="DB293" s="13"/>
      <c r="DC293" s="13"/>
      <c r="DD293" s="13"/>
      <c r="DE293" s="13"/>
      <c r="DF293" s="13"/>
      <c r="DG293" s="13"/>
      <c r="DH293" s="13"/>
      <c r="DI293" s="13"/>
    </row>
    <row r="294" spans="2:113" ht="18" customHeight="1" x14ac:dyDescent="0.4">
      <c r="B294" s="27">
        <f t="shared" si="22"/>
        <v>283</v>
      </c>
      <c r="C294" s="28"/>
      <c r="D294" s="29"/>
      <c r="E294" s="29"/>
      <c r="F294" s="30"/>
      <c r="G294" s="31"/>
      <c r="H294" s="43"/>
      <c r="I294" s="32" t="str">
        <f t="shared" si="21"/>
        <v/>
      </c>
      <c r="J294" s="33"/>
      <c r="K294" s="33"/>
      <c r="L294" s="34"/>
      <c r="M294" s="34"/>
      <c r="N294" s="54"/>
      <c r="O294" s="54"/>
      <c r="P294" s="54"/>
      <c r="Q294" s="54"/>
      <c r="R294" s="38"/>
      <c r="S294" s="38"/>
      <c r="T294" s="38"/>
      <c r="U294" s="38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8"/>
      <c r="CZ294" s="38"/>
      <c r="DA294" s="13"/>
      <c r="DB294" s="13"/>
      <c r="DC294" s="13"/>
      <c r="DD294" s="13"/>
      <c r="DE294" s="13"/>
      <c r="DF294" s="13"/>
      <c r="DG294" s="13"/>
      <c r="DH294" s="13"/>
      <c r="DI294" s="13"/>
    </row>
    <row r="295" spans="2:113" ht="18" customHeight="1" x14ac:dyDescent="0.4">
      <c r="B295" s="27">
        <f t="shared" si="22"/>
        <v>284</v>
      </c>
      <c r="C295" s="28"/>
      <c r="D295" s="29"/>
      <c r="E295" s="29"/>
      <c r="F295" s="30"/>
      <c r="G295" s="31"/>
      <c r="H295" s="43"/>
      <c r="I295" s="32" t="str">
        <f t="shared" si="21"/>
        <v/>
      </c>
      <c r="J295" s="33"/>
      <c r="K295" s="33"/>
      <c r="L295" s="34"/>
      <c r="M295" s="34"/>
      <c r="N295" s="54"/>
      <c r="O295" s="54"/>
      <c r="P295" s="54"/>
      <c r="Q295" s="54"/>
      <c r="R295" s="38"/>
      <c r="S295" s="38"/>
      <c r="T295" s="54"/>
      <c r="U295" s="54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8"/>
      <c r="CZ295" s="38"/>
      <c r="DA295" s="13"/>
      <c r="DB295" s="13"/>
      <c r="DC295" s="13"/>
      <c r="DD295" s="13"/>
      <c r="DE295" s="13"/>
      <c r="DF295" s="13"/>
      <c r="DG295" s="13"/>
      <c r="DH295" s="13"/>
      <c r="DI295" s="13"/>
    </row>
    <row r="296" spans="2:113" ht="18" customHeight="1" x14ac:dyDescent="0.4">
      <c r="B296" s="27">
        <f t="shared" si="22"/>
        <v>285</v>
      </c>
      <c r="C296" s="28"/>
      <c r="D296" s="29"/>
      <c r="E296" s="29"/>
      <c r="F296" s="30"/>
      <c r="G296" s="31"/>
      <c r="H296" s="39"/>
      <c r="I296" s="32" t="str">
        <f t="shared" si="21"/>
        <v/>
      </c>
      <c r="J296" s="33"/>
      <c r="K296" s="33"/>
      <c r="L296" s="40"/>
      <c r="M296" s="40"/>
      <c r="N296" s="44"/>
      <c r="O296" s="36"/>
      <c r="P296" s="36"/>
      <c r="Q296" s="36"/>
      <c r="R296" s="36"/>
      <c r="S296" s="36"/>
      <c r="T296" s="38"/>
      <c r="U296" s="38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8"/>
      <c r="CZ296" s="38"/>
      <c r="DA296" s="13"/>
      <c r="DB296" s="13"/>
      <c r="DC296" s="13"/>
      <c r="DD296" s="13"/>
      <c r="DE296" s="13"/>
      <c r="DF296" s="13"/>
      <c r="DG296" s="13"/>
      <c r="DH296" s="13"/>
      <c r="DI296" s="13"/>
    </row>
    <row r="297" spans="2:113" ht="18" customHeight="1" x14ac:dyDescent="0.4">
      <c r="B297" s="27">
        <f t="shared" si="22"/>
        <v>286</v>
      </c>
      <c r="C297" s="28"/>
      <c r="D297" s="29"/>
      <c r="E297" s="29"/>
      <c r="F297" s="30"/>
      <c r="G297" s="31"/>
      <c r="H297" s="39"/>
      <c r="I297" s="32" t="str">
        <f t="shared" si="21"/>
        <v/>
      </c>
      <c r="J297" s="33"/>
      <c r="K297" s="33"/>
      <c r="L297" s="40"/>
      <c r="M297" s="40"/>
      <c r="N297" s="36"/>
      <c r="O297" s="36"/>
      <c r="P297" s="36"/>
      <c r="Q297" s="36"/>
      <c r="R297" s="38"/>
      <c r="S297" s="38"/>
      <c r="T297" s="38"/>
      <c r="U297" s="38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50"/>
      <c r="BG297" s="50"/>
      <c r="BH297" s="36"/>
      <c r="BI297" s="36"/>
      <c r="BJ297" s="50"/>
      <c r="BK297" s="50"/>
      <c r="BL297" s="50"/>
      <c r="BM297" s="50"/>
      <c r="BN297" s="50"/>
      <c r="BO297" s="36"/>
      <c r="BP297" s="36"/>
      <c r="BQ297" s="39"/>
      <c r="BR297" s="39"/>
      <c r="BS297" s="39"/>
      <c r="BT297" s="39"/>
      <c r="BU297" s="39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8"/>
      <c r="CZ297" s="38"/>
      <c r="DA297" s="13"/>
      <c r="DB297" s="13"/>
      <c r="DC297" s="13"/>
      <c r="DD297" s="13"/>
      <c r="DE297" s="13"/>
      <c r="DF297" s="13"/>
      <c r="DG297" s="13"/>
      <c r="DH297" s="13"/>
      <c r="DI297" s="13"/>
    </row>
    <row r="298" spans="2:113" ht="18" customHeight="1" x14ac:dyDescent="0.4">
      <c r="B298" s="27">
        <f t="shared" si="22"/>
        <v>287</v>
      </c>
      <c r="C298" s="28"/>
      <c r="D298" s="29"/>
      <c r="E298" s="29"/>
      <c r="F298" s="30"/>
      <c r="G298" s="31"/>
      <c r="H298" s="39"/>
      <c r="I298" s="32" t="str">
        <f t="shared" si="21"/>
        <v/>
      </c>
      <c r="J298" s="33"/>
      <c r="K298" s="33"/>
      <c r="L298" s="40"/>
      <c r="M298" s="40"/>
      <c r="N298" s="36"/>
      <c r="O298" s="41"/>
      <c r="P298" s="41"/>
      <c r="Q298" s="41"/>
      <c r="R298" s="38"/>
      <c r="S298" s="38"/>
      <c r="T298" s="38"/>
      <c r="U298" s="38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8"/>
      <c r="CZ298" s="38"/>
      <c r="DA298" s="13"/>
      <c r="DB298" s="13"/>
      <c r="DC298" s="13"/>
      <c r="DD298" s="13"/>
      <c r="DE298" s="13"/>
      <c r="DF298" s="13"/>
      <c r="DG298" s="13"/>
      <c r="DH298" s="13"/>
      <c r="DI298" s="13"/>
    </row>
    <row r="299" spans="2:113" ht="18" customHeight="1" x14ac:dyDescent="0.4">
      <c r="B299" s="27">
        <f t="shared" si="22"/>
        <v>288</v>
      </c>
      <c r="C299" s="28"/>
      <c r="D299" s="29"/>
      <c r="E299" s="29"/>
      <c r="F299" s="30"/>
      <c r="G299" s="31"/>
      <c r="H299" s="39"/>
      <c r="I299" s="32" t="str">
        <f t="shared" si="21"/>
        <v/>
      </c>
      <c r="J299" s="33"/>
      <c r="K299" s="33"/>
      <c r="L299" s="34"/>
      <c r="M299" s="34"/>
      <c r="N299" s="36"/>
      <c r="O299" s="36"/>
      <c r="P299" s="36"/>
      <c r="Q299" s="36"/>
      <c r="R299" s="38"/>
      <c r="S299" s="38"/>
      <c r="T299" s="52"/>
      <c r="U299" s="52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8"/>
      <c r="CZ299" s="38"/>
      <c r="DA299" s="13"/>
      <c r="DB299" s="13"/>
      <c r="DC299" s="13"/>
      <c r="DD299" s="13"/>
      <c r="DE299" s="13"/>
      <c r="DF299" s="13"/>
      <c r="DG299" s="13"/>
      <c r="DH299" s="13"/>
      <c r="DI299" s="13"/>
    </row>
    <row r="300" spans="2:113" ht="18" customHeight="1" x14ac:dyDescent="0.4">
      <c r="B300" s="27">
        <f t="shared" si="22"/>
        <v>289</v>
      </c>
      <c r="C300" s="28"/>
      <c r="D300" s="29"/>
      <c r="E300" s="29"/>
      <c r="F300" s="30"/>
      <c r="G300" s="31"/>
      <c r="H300" s="39"/>
      <c r="I300" s="32" t="str">
        <f t="shared" si="21"/>
        <v/>
      </c>
      <c r="J300" s="33"/>
      <c r="K300" s="33"/>
      <c r="L300" s="40"/>
      <c r="M300" s="40"/>
      <c r="N300" s="36"/>
      <c r="O300" s="36"/>
      <c r="P300" s="36"/>
      <c r="Q300" s="36"/>
      <c r="R300" s="38"/>
      <c r="S300" s="38"/>
      <c r="T300" s="52"/>
      <c r="U300" s="52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8"/>
      <c r="CZ300" s="38"/>
      <c r="DA300" s="13"/>
      <c r="DB300" s="13"/>
      <c r="DC300" s="13"/>
      <c r="DD300" s="13"/>
      <c r="DE300" s="13"/>
      <c r="DF300" s="13"/>
      <c r="DG300" s="13"/>
      <c r="DH300" s="13"/>
      <c r="DI300" s="13"/>
    </row>
    <row r="301" spans="2:113" ht="18" customHeight="1" x14ac:dyDescent="0.4">
      <c r="B301" s="27">
        <f t="shared" si="22"/>
        <v>290</v>
      </c>
      <c r="C301" s="28"/>
      <c r="D301" s="29"/>
      <c r="E301" s="29"/>
      <c r="F301" s="30"/>
      <c r="G301" s="31"/>
      <c r="H301" s="39"/>
      <c r="I301" s="32" t="str">
        <f t="shared" si="21"/>
        <v/>
      </c>
      <c r="J301" s="33"/>
      <c r="K301" s="33"/>
      <c r="L301" s="34"/>
      <c r="M301" s="34"/>
      <c r="N301" s="48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49"/>
      <c r="AG301" s="49"/>
      <c r="AH301" s="49"/>
      <c r="AI301" s="49"/>
      <c r="AJ301" s="49"/>
      <c r="AK301" s="49"/>
      <c r="AL301" s="49"/>
      <c r="AM301" s="49"/>
      <c r="AN301" s="49"/>
      <c r="AO301" s="49"/>
      <c r="AP301" s="49"/>
      <c r="AQ301" s="49"/>
      <c r="AR301" s="49"/>
      <c r="AS301" s="49"/>
      <c r="AT301" s="49"/>
      <c r="AU301" s="49"/>
      <c r="AV301" s="49"/>
      <c r="AW301" s="49"/>
      <c r="AX301" s="49"/>
      <c r="AY301" s="49"/>
      <c r="AZ301" s="49"/>
      <c r="BA301" s="49"/>
      <c r="BB301" s="49"/>
      <c r="BC301" s="49"/>
      <c r="BD301" s="49"/>
      <c r="BE301" s="49"/>
      <c r="BF301" s="49"/>
      <c r="BG301" s="49"/>
      <c r="BH301" s="49"/>
      <c r="BI301" s="49"/>
      <c r="BJ301" s="49"/>
      <c r="BK301" s="49"/>
      <c r="BL301" s="49"/>
      <c r="BM301" s="49"/>
      <c r="BN301" s="49"/>
      <c r="BO301" s="49"/>
      <c r="BP301" s="49"/>
      <c r="BQ301" s="49"/>
      <c r="BR301" s="49"/>
      <c r="BS301" s="49"/>
      <c r="BT301" s="49"/>
      <c r="BU301" s="49"/>
      <c r="BV301" s="49"/>
      <c r="BW301" s="49"/>
      <c r="BX301" s="49"/>
      <c r="BY301" s="49"/>
      <c r="BZ301" s="49"/>
      <c r="CA301" s="49"/>
      <c r="CB301" s="49"/>
      <c r="CC301" s="49"/>
      <c r="CD301" s="49"/>
      <c r="CE301" s="49"/>
      <c r="CF301" s="49"/>
      <c r="CG301" s="49"/>
      <c r="CH301" s="49"/>
      <c r="CI301" s="49"/>
      <c r="CJ301" s="49"/>
      <c r="CK301" s="49"/>
      <c r="CL301" s="49"/>
      <c r="CM301" s="49"/>
      <c r="CN301" s="49"/>
      <c r="CO301" s="49"/>
      <c r="CP301" s="49"/>
      <c r="CQ301" s="49"/>
      <c r="CR301" s="49"/>
      <c r="CS301" s="49"/>
      <c r="CT301" s="49"/>
      <c r="CU301" s="49"/>
      <c r="CV301" s="49"/>
      <c r="CW301" s="49"/>
      <c r="CX301" s="49"/>
      <c r="CY301" s="49"/>
      <c r="CZ301" s="49"/>
    </row>
    <row r="302" spans="2:113" ht="18" customHeight="1" x14ac:dyDescent="0.4">
      <c r="B302" s="27">
        <f t="shared" si="22"/>
        <v>291</v>
      </c>
      <c r="C302" s="28"/>
      <c r="D302" s="29"/>
      <c r="E302" s="29"/>
      <c r="F302" s="30"/>
      <c r="G302" s="31"/>
      <c r="H302" s="45"/>
      <c r="I302" s="32" t="str">
        <f t="shared" ref="I302:I365" si="23">IF(G302&gt;0,H302/G302,"")</f>
        <v/>
      </c>
      <c r="J302" s="33"/>
      <c r="K302" s="33"/>
      <c r="L302" s="46"/>
      <c r="M302" s="46"/>
      <c r="N302" s="48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49"/>
      <c r="AG302" s="49"/>
      <c r="AH302" s="49"/>
      <c r="AI302" s="49"/>
      <c r="AJ302" s="49"/>
      <c r="AK302" s="49"/>
      <c r="AL302" s="49"/>
      <c r="AM302" s="49"/>
      <c r="AN302" s="49"/>
      <c r="AO302" s="49"/>
      <c r="AP302" s="49"/>
      <c r="AQ302" s="49"/>
      <c r="AR302" s="49"/>
      <c r="AS302" s="49"/>
      <c r="AT302" s="49"/>
      <c r="AU302" s="49"/>
      <c r="AV302" s="49"/>
      <c r="AW302" s="49"/>
      <c r="AX302" s="49"/>
      <c r="AY302" s="49"/>
      <c r="AZ302" s="49"/>
      <c r="BA302" s="49"/>
      <c r="BB302" s="49"/>
      <c r="BC302" s="49"/>
      <c r="BD302" s="49"/>
      <c r="BE302" s="49"/>
      <c r="BF302" s="49"/>
      <c r="BG302" s="49"/>
      <c r="BH302" s="49"/>
      <c r="BI302" s="49"/>
      <c r="BJ302" s="49"/>
      <c r="BK302" s="49"/>
      <c r="BL302" s="49"/>
      <c r="BM302" s="49"/>
      <c r="BN302" s="49"/>
      <c r="BO302" s="49"/>
      <c r="BP302" s="49"/>
      <c r="BQ302" s="49"/>
      <c r="BR302" s="49"/>
      <c r="BS302" s="49"/>
      <c r="BT302" s="49"/>
      <c r="BU302" s="49"/>
      <c r="BV302" s="49"/>
      <c r="BW302" s="49"/>
      <c r="BX302" s="49"/>
      <c r="BY302" s="49"/>
      <c r="BZ302" s="49"/>
      <c r="CA302" s="49"/>
      <c r="CB302" s="49"/>
      <c r="CC302" s="49"/>
      <c r="CD302" s="49"/>
      <c r="CE302" s="49"/>
      <c r="CF302" s="49"/>
      <c r="CG302" s="49"/>
      <c r="CH302" s="49"/>
      <c r="CI302" s="49"/>
      <c r="CJ302" s="49"/>
      <c r="CK302" s="49"/>
      <c r="CL302" s="49"/>
      <c r="CM302" s="49"/>
      <c r="CN302" s="49"/>
      <c r="CO302" s="49"/>
      <c r="CP302" s="49"/>
      <c r="CQ302" s="49"/>
      <c r="CR302" s="49"/>
      <c r="CS302" s="49"/>
      <c r="CT302" s="49"/>
      <c r="CU302" s="49"/>
      <c r="CV302" s="49"/>
      <c r="CW302" s="49"/>
      <c r="CX302" s="49"/>
      <c r="CY302" s="49"/>
      <c r="CZ302" s="49"/>
    </row>
    <row r="303" spans="2:113" ht="18" customHeight="1" x14ac:dyDescent="0.4">
      <c r="B303" s="27">
        <f t="shared" si="22"/>
        <v>292</v>
      </c>
      <c r="C303" s="28"/>
      <c r="D303" s="29"/>
      <c r="E303" s="29"/>
      <c r="F303" s="30"/>
      <c r="G303" s="31"/>
      <c r="H303" s="39"/>
      <c r="I303" s="32" t="str">
        <f t="shared" si="23"/>
        <v/>
      </c>
      <c r="J303" s="33"/>
      <c r="K303" s="33"/>
      <c r="L303" s="40"/>
      <c r="M303" s="40"/>
      <c r="N303" s="44"/>
      <c r="O303" s="36"/>
      <c r="P303" s="36"/>
      <c r="Q303" s="36"/>
      <c r="R303" s="36"/>
      <c r="S303" s="36"/>
      <c r="T303" s="38"/>
      <c r="U303" s="38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6"/>
      <c r="BG303" s="36"/>
      <c r="BH303" s="36"/>
      <c r="BI303" s="36"/>
      <c r="BJ303" s="36"/>
      <c r="BK303" s="36"/>
      <c r="BL303" s="36"/>
      <c r="BM303" s="36"/>
      <c r="BN303" s="36"/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8"/>
      <c r="CZ303" s="38"/>
      <c r="DA303" s="13"/>
      <c r="DB303" s="13"/>
      <c r="DC303" s="13"/>
      <c r="DD303" s="13"/>
      <c r="DE303" s="13"/>
      <c r="DF303" s="13"/>
      <c r="DG303" s="13"/>
      <c r="DH303" s="13"/>
      <c r="DI303" s="13"/>
    </row>
    <row r="304" spans="2:113" ht="18" customHeight="1" x14ac:dyDescent="0.4">
      <c r="B304" s="27">
        <f t="shared" si="22"/>
        <v>293</v>
      </c>
      <c r="C304" s="28"/>
      <c r="D304" s="28"/>
      <c r="E304" s="29"/>
      <c r="F304" s="30"/>
      <c r="G304" s="31"/>
      <c r="H304" s="39"/>
      <c r="I304" s="32" t="str">
        <f t="shared" si="23"/>
        <v/>
      </c>
      <c r="J304" s="33"/>
      <c r="K304" s="33"/>
      <c r="L304" s="40"/>
      <c r="M304" s="40"/>
      <c r="N304" s="48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49"/>
      <c r="AG304" s="49"/>
      <c r="AH304" s="49"/>
      <c r="AI304" s="49"/>
      <c r="AJ304" s="49"/>
      <c r="AK304" s="49"/>
      <c r="AL304" s="49"/>
      <c r="AM304" s="49"/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  <c r="BD304" s="49"/>
      <c r="BE304" s="49"/>
      <c r="BF304" s="49"/>
      <c r="BG304" s="49"/>
      <c r="BH304" s="49"/>
      <c r="BI304" s="49"/>
      <c r="BJ304" s="49"/>
      <c r="BK304" s="49"/>
      <c r="BL304" s="49"/>
      <c r="BM304" s="49"/>
      <c r="BN304" s="49"/>
      <c r="BO304" s="49"/>
      <c r="BP304" s="49"/>
      <c r="BQ304" s="49"/>
      <c r="BR304" s="49"/>
      <c r="BS304" s="49"/>
      <c r="BT304" s="49"/>
      <c r="BU304" s="49"/>
      <c r="BV304" s="49"/>
      <c r="BW304" s="49"/>
      <c r="BX304" s="49"/>
      <c r="BY304" s="49"/>
      <c r="BZ304" s="49"/>
      <c r="CA304" s="49"/>
      <c r="CB304" s="49"/>
      <c r="CC304" s="49"/>
      <c r="CD304" s="49"/>
      <c r="CE304" s="49"/>
      <c r="CF304" s="49"/>
      <c r="CG304" s="49"/>
      <c r="CH304" s="49"/>
      <c r="CI304" s="49"/>
      <c r="CJ304" s="49"/>
      <c r="CK304" s="49"/>
      <c r="CL304" s="49"/>
      <c r="CM304" s="49"/>
      <c r="CN304" s="49"/>
      <c r="CO304" s="49"/>
      <c r="CP304" s="49"/>
      <c r="CQ304" s="49"/>
      <c r="CR304" s="49"/>
      <c r="CS304" s="49"/>
      <c r="CT304" s="49"/>
      <c r="CU304" s="49"/>
      <c r="CV304" s="49"/>
      <c r="CW304" s="49"/>
      <c r="CX304" s="49"/>
      <c r="CY304" s="49"/>
      <c r="CZ304" s="49"/>
    </row>
    <row r="305" spans="2:113" ht="18" customHeight="1" x14ac:dyDescent="0.4">
      <c r="B305" s="27">
        <f t="shared" si="22"/>
        <v>294</v>
      </c>
      <c r="C305" s="28"/>
      <c r="D305" s="28"/>
      <c r="E305" s="29"/>
      <c r="F305" s="30"/>
      <c r="G305" s="31"/>
      <c r="H305" s="39"/>
      <c r="I305" s="32" t="str">
        <f t="shared" si="23"/>
        <v/>
      </c>
      <c r="J305" s="33"/>
      <c r="K305" s="33"/>
      <c r="L305" s="34"/>
      <c r="M305" s="34"/>
      <c r="N305" s="48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49"/>
      <c r="AM305" s="49"/>
      <c r="AN305" s="49"/>
      <c r="AO305" s="49"/>
      <c r="AP305" s="49"/>
      <c r="AQ305" s="49"/>
      <c r="AR305" s="49"/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  <c r="BF305" s="49"/>
      <c r="BG305" s="49"/>
      <c r="BH305" s="49"/>
      <c r="BI305" s="49"/>
      <c r="BJ305" s="49"/>
      <c r="BK305" s="49"/>
      <c r="BL305" s="49"/>
      <c r="BM305" s="49"/>
      <c r="BN305" s="49"/>
      <c r="BO305" s="49"/>
      <c r="BP305" s="49"/>
      <c r="BQ305" s="49"/>
      <c r="BR305" s="49"/>
      <c r="BS305" s="49"/>
      <c r="BT305" s="49"/>
      <c r="BU305" s="49"/>
      <c r="BV305" s="49"/>
      <c r="BW305" s="49"/>
      <c r="BX305" s="49"/>
      <c r="BY305" s="49"/>
      <c r="BZ305" s="49"/>
      <c r="CA305" s="49"/>
      <c r="CB305" s="49"/>
      <c r="CC305" s="49"/>
      <c r="CD305" s="49"/>
      <c r="CE305" s="49"/>
      <c r="CF305" s="49"/>
      <c r="CG305" s="49"/>
      <c r="CH305" s="49"/>
      <c r="CI305" s="49"/>
      <c r="CJ305" s="49"/>
      <c r="CK305" s="49"/>
      <c r="CL305" s="49"/>
      <c r="CM305" s="49"/>
      <c r="CN305" s="49"/>
      <c r="CO305" s="49"/>
      <c r="CP305" s="49"/>
      <c r="CQ305" s="49"/>
      <c r="CR305" s="49"/>
      <c r="CS305" s="49"/>
      <c r="CT305" s="49"/>
      <c r="CU305" s="49"/>
      <c r="CV305" s="49"/>
      <c r="CW305" s="49"/>
      <c r="CX305" s="49"/>
      <c r="CY305" s="49"/>
      <c r="CZ305" s="49"/>
    </row>
    <row r="306" spans="2:113" ht="18" customHeight="1" x14ac:dyDescent="0.4">
      <c r="B306" s="27">
        <f t="shared" si="22"/>
        <v>295</v>
      </c>
      <c r="C306" s="28"/>
      <c r="D306" s="28"/>
      <c r="E306" s="29"/>
      <c r="F306" s="30"/>
      <c r="G306" s="31"/>
      <c r="H306" s="45"/>
      <c r="I306" s="32" t="str">
        <f t="shared" si="23"/>
        <v/>
      </c>
      <c r="J306" s="33"/>
      <c r="K306" s="33"/>
      <c r="L306" s="46"/>
      <c r="M306" s="46"/>
      <c r="N306" s="48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49"/>
      <c r="AG306" s="49"/>
      <c r="AH306" s="49"/>
      <c r="AI306" s="49"/>
      <c r="AJ306" s="49"/>
      <c r="AK306" s="49"/>
      <c r="AL306" s="49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/>
      <c r="AY306" s="49"/>
      <c r="AZ306" s="49"/>
      <c r="BA306" s="49"/>
      <c r="BB306" s="49"/>
      <c r="BC306" s="49"/>
      <c r="BD306" s="49"/>
      <c r="BE306" s="49"/>
      <c r="BF306" s="49"/>
      <c r="BG306" s="49"/>
      <c r="BH306" s="49"/>
      <c r="BI306" s="49"/>
      <c r="BJ306" s="49"/>
      <c r="BK306" s="49"/>
      <c r="BL306" s="49"/>
      <c r="BM306" s="49"/>
      <c r="BN306" s="49"/>
      <c r="BO306" s="49"/>
      <c r="BP306" s="49"/>
      <c r="BQ306" s="49"/>
      <c r="BR306" s="49"/>
      <c r="BS306" s="49"/>
      <c r="BT306" s="49"/>
      <c r="BU306" s="49"/>
      <c r="BV306" s="49"/>
      <c r="BW306" s="49"/>
      <c r="BX306" s="49"/>
      <c r="BY306" s="49"/>
      <c r="BZ306" s="49"/>
      <c r="CA306" s="49"/>
      <c r="CB306" s="49"/>
      <c r="CC306" s="49"/>
      <c r="CD306" s="49"/>
      <c r="CE306" s="49"/>
      <c r="CF306" s="49"/>
      <c r="CG306" s="49"/>
      <c r="CH306" s="49"/>
      <c r="CI306" s="49"/>
      <c r="CJ306" s="49"/>
      <c r="CK306" s="49"/>
      <c r="CL306" s="49"/>
      <c r="CM306" s="49"/>
      <c r="CN306" s="49"/>
      <c r="CO306" s="49"/>
      <c r="CP306" s="49"/>
      <c r="CQ306" s="49"/>
      <c r="CR306" s="49"/>
      <c r="CS306" s="49"/>
      <c r="CT306" s="49"/>
      <c r="CU306" s="49"/>
      <c r="CV306" s="49"/>
      <c r="CW306" s="49"/>
      <c r="CX306" s="49"/>
      <c r="CY306" s="49"/>
      <c r="CZ306" s="49"/>
    </row>
    <row r="307" spans="2:113" ht="18" customHeight="1" x14ac:dyDescent="0.4">
      <c r="B307" s="27">
        <f t="shared" si="22"/>
        <v>296</v>
      </c>
      <c r="C307" s="28"/>
      <c r="D307" s="28"/>
      <c r="E307" s="29"/>
      <c r="F307" s="30"/>
      <c r="G307" s="31"/>
      <c r="H307" s="45"/>
      <c r="I307" s="32" t="str">
        <f t="shared" si="23"/>
        <v/>
      </c>
      <c r="J307" s="33"/>
      <c r="K307" s="33"/>
      <c r="L307" s="46"/>
      <c r="M307" s="46"/>
      <c r="N307" s="36"/>
      <c r="O307" s="36"/>
      <c r="P307" s="36"/>
      <c r="Q307" s="36"/>
      <c r="R307" s="38"/>
      <c r="S307" s="38"/>
      <c r="T307" s="38"/>
      <c r="U307" s="38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8"/>
      <c r="CZ307" s="38"/>
      <c r="DA307" s="13"/>
      <c r="DB307" s="13"/>
      <c r="DC307" s="13"/>
      <c r="DD307" s="13"/>
      <c r="DE307" s="13"/>
      <c r="DF307" s="13"/>
      <c r="DG307" s="13"/>
      <c r="DH307" s="13"/>
      <c r="DI307" s="13"/>
    </row>
    <row r="308" spans="2:113" ht="18" customHeight="1" x14ac:dyDescent="0.4">
      <c r="B308" s="27">
        <f t="shared" si="22"/>
        <v>297</v>
      </c>
      <c r="C308" s="28"/>
      <c r="D308" s="29"/>
      <c r="E308" s="29"/>
      <c r="F308" s="30"/>
      <c r="G308" s="31"/>
      <c r="H308" s="45"/>
      <c r="I308" s="32" t="str">
        <f t="shared" si="23"/>
        <v/>
      </c>
      <c r="J308" s="33"/>
      <c r="K308" s="33"/>
      <c r="L308" s="46"/>
      <c r="M308" s="46"/>
      <c r="N308" s="36"/>
      <c r="O308" s="36"/>
      <c r="P308" s="36"/>
      <c r="Q308" s="36"/>
      <c r="R308" s="38"/>
      <c r="S308" s="38"/>
      <c r="T308" s="38"/>
      <c r="U308" s="38"/>
      <c r="V308" s="55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0"/>
      <c r="BG308" s="50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8"/>
      <c r="CZ308" s="38"/>
      <c r="DA308" s="13"/>
      <c r="DB308" s="13"/>
      <c r="DC308" s="13"/>
      <c r="DD308" s="13"/>
      <c r="DE308" s="13"/>
      <c r="DF308" s="13"/>
      <c r="DG308" s="13"/>
      <c r="DH308" s="13"/>
      <c r="DI308" s="13"/>
    </row>
    <row r="309" spans="2:113" ht="18" customHeight="1" x14ac:dyDescent="0.4">
      <c r="B309" s="27">
        <f t="shared" si="22"/>
        <v>298</v>
      </c>
      <c r="C309" s="28"/>
      <c r="D309" s="29"/>
      <c r="E309" s="29"/>
      <c r="F309" s="30"/>
      <c r="G309" s="31"/>
      <c r="H309" s="45"/>
      <c r="I309" s="32" t="str">
        <f t="shared" si="23"/>
        <v/>
      </c>
      <c r="J309" s="33"/>
      <c r="K309" s="33"/>
      <c r="L309" s="46"/>
      <c r="M309" s="46"/>
      <c r="N309" s="36"/>
      <c r="O309" s="36"/>
      <c r="P309" s="36"/>
      <c r="Q309" s="36"/>
      <c r="R309" s="38"/>
      <c r="S309" s="38"/>
      <c r="T309" s="52"/>
      <c r="U309" s="52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8"/>
      <c r="CZ309" s="38"/>
      <c r="DA309" s="13"/>
      <c r="DB309" s="13"/>
      <c r="DC309" s="13"/>
      <c r="DD309" s="13"/>
      <c r="DE309" s="13"/>
      <c r="DF309" s="13"/>
      <c r="DG309" s="13"/>
      <c r="DH309" s="13"/>
      <c r="DI309" s="13"/>
    </row>
    <row r="310" spans="2:113" ht="18" customHeight="1" x14ac:dyDescent="0.4">
      <c r="B310" s="27">
        <f t="shared" si="22"/>
        <v>299</v>
      </c>
      <c r="C310" s="28"/>
      <c r="D310" s="29"/>
      <c r="E310" s="29"/>
      <c r="F310" s="30"/>
      <c r="G310" s="31"/>
      <c r="H310" s="43"/>
      <c r="I310" s="32" t="str">
        <f t="shared" si="23"/>
        <v/>
      </c>
      <c r="J310" s="33"/>
      <c r="K310" s="33"/>
      <c r="L310" s="57"/>
      <c r="M310" s="57"/>
      <c r="N310" s="47"/>
      <c r="O310" s="36"/>
      <c r="P310" s="36"/>
      <c r="Q310" s="36"/>
      <c r="R310" s="38"/>
      <c r="S310" s="38"/>
      <c r="T310" s="38"/>
      <c r="U310" s="38"/>
      <c r="V310" s="38"/>
      <c r="W310" s="38"/>
      <c r="X310" s="38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6"/>
      <c r="AJ310" s="36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8"/>
      <c r="CZ310" s="38"/>
      <c r="DA310" s="13"/>
      <c r="DB310" s="13"/>
      <c r="DC310" s="13"/>
      <c r="DD310" s="13"/>
      <c r="DE310" s="13"/>
      <c r="DF310" s="13"/>
      <c r="DG310" s="13"/>
      <c r="DH310" s="13"/>
      <c r="DI310" s="13"/>
    </row>
    <row r="311" spans="2:113" ht="18" customHeight="1" x14ac:dyDescent="0.4">
      <c r="B311" s="27">
        <f t="shared" si="22"/>
        <v>300</v>
      </c>
      <c r="C311" s="28"/>
      <c r="D311" s="29"/>
      <c r="E311" s="29"/>
      <c r="F311" s="30"/>
      <c r="G311" s="31"/>
      <c r="H311" s="45"/>
      <c r="I311" s="32" t="str">
        <f t="shared" si="23"/>
        <v/>
      </c>
      <c r="J311" s="33"/>
      <c r="K311" s="33"/>
      <c r="L311" s="46"/>
      <c r="M311" s="46"/>
      <c r="N311" s="48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  <c r="BD311" s="49"/>
      <c r="BE311" s="49"/>
      <c r="BF311" s="49"/>
      <c r="BG311" s="49"/>
      <c r="BH311" s="49"/>
      <c r="BI311" s="49"/>
      <c r="BJ311" s="49"/>
      <c r="BK311" s="49"/>
      <c r="BL311" s="49"/>
      <c r="BM311" s="49"/>
      <c r="BN311" s="49"/>
      <c r="BO311" s="49"/>
      <c r="BP311" s="49"/>
      <c r="BQ311" s="49"/>
      <c r="BR311" s="49"/>
      <c r="BS311" s="49"/>
      <c r="BT311" s="49"/>
      <c r="BU311" s="49"/>
      <c r="BV311" s="49"/>
      <c r="BW311" s="49"/>
      <c r="BX311" s="49"/>
      <c r="BY311" s="49"/>
      <c r="BZ311" s="49"/>
      <c r="CA311" s="49"/>
      <c r="CB311" s="49"/>
      <c r="CC311" s="49"/>
      <c r="CD311" s="49"/>
      <c r="CE311" s="49"/>
      <c r="CF311" s="49"/>
      <c r="CG311" s="49"/>
      <c r="CH311" s="49"/>
      <c r="CI311" s="49"/>
      <c r="CJ311" s="49"/>
      <c r="CK311" s="49"/>
      <c r="CL311" s="49"/>
      <c r="CM311" s="49"/>
      <c r="CN311" s="49"/>
      <c r="CO311" s="49"/>
      <c r="CP311" s="49"/>
      <c r="CQ311" s="49"/>
      <c r="CR311" s="49"/>
      <c r="CS311" s="49"/>
      <c r="CT311" s="49"/>
      <c r="CU311" s="49"/>
      <c r="CV311" s="49"/>
      <c r="CW311" s="49"/>
      <c r="CX311" s="49"/>
      <c r="CY311" s="49"/>
      <c r="CZ311" s="49"/>
    </row>
    <row r="312" spans="2:113" ht="18" customHeight="1" x14ac:dyDescent="0.4">
      <c r="B312" s="27">
        <f>ROW()-11</f>
        <v>301</v>
      </c>
      <c r="C312" s="28"/>
      <c r="D312" s="28"/>
      <c r="E312" s="29"/>
      <c r="F312" s="30"/>
      <c r="G312" s="31"/>
      <c r="H312" s="31"/>
      <c r="I312" s="32" t="str">
        <f t="shared" si="23"/>
        <v/>
      </c>
      <c r="J312" s="33"/>
      <c r="K312" s="33"/>
      <c r="L312" s="34"/>
      <c r="M312" s="34"/>
      <c r="N312" s="35"/>
      <c r="O312" s="35"/>
      <c r="P312" s="35"/>
      <c r="Q312" s="35"/>
      <c r="R312" s="36"/>
      <c r="S312" s="36"/>
      <c r="T312" s="36"/>
      <c r="U312" s="36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8"/>
      <c r="CZ312" s="38"/>
      <c r="DA312" s="13"/>
      <c r="DB312" s="13"/>
      <c r="DC312" s="13"/>
      <c r="DD312" s="13"/>
      <c r="DE312" s="13"/>
      <c r="DF312" s="13"/>
      <c r="DG312" s="13"/>
      <c r="DH312" s="13"/>
      <c r="DI312" s="13"/>
    </row>
    <row r="313" spans="2:113" ht="18" customHeight="1" x14ac:dyDescent="0.4">
      <c r="B313" s="27">
        <f t="shared" ref="B313:B361" si="24">ROW()-11</f>
        <v>302</v>
      </c>
      <c r="C313" s="28"/>
      <c r="D313" s="28"/>
      <c r="E313" s="29"/>
      <c r="F313" s="30"/>
      <c r="G313" s="31"/>
      <c r="H313" s="39"/>
      <c r="I313" s="32" t="str">
        <f t="shared" si="23"/>
        <v/>
      </c>
      <c r="J313" s="33"/>
      <c r="K313" s="33"/>
      <c r="L313" s="40"/>
      <c r="M313" s="40"/>
      <c r="N313" s="36"/>
      <c r="O313" s="41"/>
      <c r="P313" s="41"/>
      <c r="Q313" s="41"/>
      <c r="R313" s="38"/>
      <c r="S313" s="38"/>
      <c r="T313" s="38"/>
      <c r="U313" s="38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8"/>
      <c r="CZ313" s="38"/>
      <c r="DA313" s="13"/>
      <c r="DB313" s="13"/>
      <c r="DC313" s="13"/>
      <c r="DD313" s="13"/>
      <c r="DE313" s="13"/>
      <c r="DF313" s="13"/>
      <c r="DG313" s="13"/>
      <c r="DH313" s="13"/>
      <c r="DI313" s="13"/>
    </row>
    <row r="314" spans="2:113" ht="18" customHeight="1" x14ac:dyDescent="0.4">
      <c r="B314" s="27">
        <f t="shared" si="24"/>
        <v>303</v>
      </c>
      <c r="C314" s="28"/>
      <c r="D314" s="28"/>
      <c r="E314" s="29"/>
      <c r="F314" s="30"/>
      <c r="G314" s="31"/>
      <c r="H314" s="43"/>
      <c r="I314" s="32" t="str">
        <f t="shared" si="23"/>
        <v/>
      </c>
      <c r="J314" s="33"/>
      <c r="K314" s="33"/>
      <c r="L314" s="40"/>
      <c r="M314" s="40"/>
      <c r="N314" s="44"/>
      <c r="O314" s="36"/>
      <c r="P314" s="36"/>
      <c r="Q314" s="36"/>
      <c r="R314" s="38"/>
      <c r="S314" s="38"/>
      <c r="T314" s="38"/>
      <c r="U314" s="38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8"/>
      <c r="CZ314" s="38"/>
      <c r="DA314" s="13"/>
      <c r="DB314" s="13"/>
      <c r="DC314" s="13"/>
      <c r="DD314" s="13"/>
      <c r="DE314" s="13"/>
      <c r="DF314" s="13"/>
      <c r="DG314" s="13"/>
      <c r="DH314" s="13"/>
      <c r="DI314" s="13"/>
    </row>
    <row r="315" spans="2:113" ht="18" customHeight="1" x14ac:dyDescent="0.4">
      <c r="B315" s="27">
        <f t="shared" si="24"/>
        <v>304</v>
      </c>
      <c r="C315" s="28"/>
      <c r="D315" s="29"/>
      <c r="E315" s="29"/>
      <c r="F315" s="30"/>
      <c r="G315" s="31"/>
      <c r="H315" s="45"/>
      <c r="I315" s="32" t="str">
        <f t="shared" si="23"/>
        <v/>
      </c>
      <c r="J315" s="33"/>
      <c r="K315" s="33"/>
      <c r="L315" s="46"/>
      <c r="M315" s="46"/>
      <c r="N315" s="44"/>
      <c r="O315" s="36"/>
      <c r="P315" s="36"/>
      <c r="Q315" s="36"/>
      <c r="R315" s="38"/>
      <c r="S315" s="38"/>
      <c r="T315" s="38"/>
      <c r="U315" s="38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8"/>
      <c r="CZ315" s="38"/>
      <c r="DA315" s="13"/>
      <c r="DB315" s="13"/>
      <c r="DC315" s="13"/>
      <c r="DD315" s="13"/>
      <c r="DE315" s="13"/>
      <c r="DF315" s="13"/>
      <c r="DG315" s="13"/>
      <c r="DH315" s="13"/>
      <c r="DI315" s="13"/>
    </row>
    <row r="316" spans="2:113" ht="18" customHeight="1" x14ac:dyDescent="0.4">
      <c r="B316" s="27">
        <f t="shared" si="24"/>
        <v>305</v>
      </c>
      <c r="C316" s="28"/>
      <c r="D316" s="28"/>
      <c r="E316" s="29"/>
      <c r="F316" s="30"/>
      <c r="G316" s="31"/>
      <c r="H316" s="39"/>
      <c r="I316" s="32" t="str">
        <f t="shared" si="23"/>
        <v/>
      </c>
      <c r="J316" s="33"/>
      <c r="K316" s="33"/>
      <c r="L316" s="34"/>
      <c r="M316" s="34"/>
      <c r="N316" s="47"/>
      <c r="O316" s="36"/>
      <c r="P316" s="36"/>
      <c r="Q316" s="36"/>
      <c r="R316" s="38"/>
      <c r="S316" s="38"/>
      <c r="T316" s="38"/>
      <c r="U316" s="38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8"/>
      <c r="CZ316" s="38"/>
      <c r="DA316" s="13"/>
      <c r="DB316" s="13"/>
      <c r="DC316" s="13"/>
      <c r="DD316" s="13"/>
      <c r="DE316" s="13"/>
      <c r="DF316" s="13"/>
      <c r="DG316" s="13"/>
      <c r="DH316" s="13"/>
      <c r="DI316" s="13"/>
    </row>
    <row r="317" spans="2:113" ht="18" customHeight="1" x14ac:dyDescent="0.4">
      <c r="B317" s="27">
        <f t="shared" si="24"/>
        <v>306</v>
      </c>
      <c r="C317" s="28"/>
      <c r="D317" s="28"/>
      <c r="E317" s="29"/>
      <c r="F317" s="30"/>
      <c r="G317" s="31"/>
      <c r="H317" s="43"/>
      <c r="I317" s="32" t="str">
        <f t="shared" si="23"/>
        <v/>
      </c>
      <c r="J317" s="33"/>
      <c r="K317" s="33"/>
      <c r="L317" s="40"/>
      <c r="M317" s="40"/>
      <c r="N317" s="48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49"/>
      <c r="AG317" s="49"/>
      <c r="AH317" s="49"/>
      <c r="AI317" s="49"/>
      <c r="AJ317" s="49"/>
      <c r="AK317" s="49"/>
      <c r="AL317" s="49"/>
      <c r="AM317" s="49"/>
      <c r="AN317" s="49"/>
      <c r="AO317" s="49"/>
      <c r="AP317" s="49"/>
      <c r="AQ317" s="49"/>
      <c r="AR317" s="49"/>
      <c r="AS317" s="49"/>
      <c r="AT317" s="49"/>
      <c r="AU317" s="49"/>
      <c r="AV317" s="49"/>
      <c r="AW317" s="49"/>
      <c r="AX317" s="49"/>
      <c r="AY317" s="49"/>
      <c r="AZ317" s="49"/>
      <c r="BA317" s="49"/>
      <c r="BB317" s="49"/>
      <c r="BC317" s="49"/>
      <c r="BD317" s="49"/>
      <c r="BE317" s="49"/>
      <c r="BF317" s="49"/>
      <c r="BG317" s="49"/>
      <c r="BH317" s="49"/>
      <c r="BI317" s="49"/>
      <c r="BJ317" s="49"/>
      <c r="BK317" s="49"/>
      <c r="BL317" s="49"/>
      <c r="BM317" s="49"/>
      <c r="BN317" s="49"/>
      <c r="BO317" s="49"/>
      <c r="BP317" s="49"/>
      <c r="BQ317" s="49"/>
      <c r="BR317" s="49"/>
      <c r="BS317" s="49"/>
      <c r="BT317" s="49"/>
      <c r="BU317" s="49"/>
      <c r="BV317" s="49"/>
      <c r="BW317" s="49"/>
      <c r="BX317" s="49"/>
      <c r="BY317" s="49"/>
      <c r="BZ317" s="49"/>
      <c r="CA317" s="49"/>
      <c r="CB317" s="49"/>
      <c r="CC317" s="49"/>
      <c r="CD317" s="49"/>
      <c r="CE317" s="49"/>
      <c r="CF317" s="49"/>
      <c r="CG317" s="49"/>
      <c r="CH317" s="49"/>
      <c r="CI317" s="49"/>
      <c r="CJ317" s="49"/>
      <c r="CK317" s="49"/>
      <c r="CL317" s="49"/>
      <c r="CM317" s="49"/>
      <c r="CN317" s="49"/>
      <c r="CO317" s="49"/>
      <c r="CP317" s="49"/>
      <c r="CQ317" s="49"/>
      <c r="CR317" s="49"/>
      <c r="CS317" s="49"/>
      <c r="CT317" s="49"/>
      <c r="CU317" s="49"/>
      <c r="CV317" s="49"/>
      <c r="CW317" s="49"/>
      <c r="CX317" s="49"/>
      <c r="CY317" s="49"/>
      <c r="CZ317" s="49"/>
    </row>
    <row r="318" spans="2:113" ht="18" customHeight="1" x14ac:dyDescent="0.4">
      <c r="B318" s="27">
        <f t="shared" si="24"/>
        <v>307</v>
      </c>
      <c r="C318" s="28"/>
      <c r="D318" s="29"/>
      <c r="E318" s="29"/>
      <c r="F318" s="30"/>
      <c r="G318" s="31"/>
      <c r="H318" s="43"/>
      <c r="I318" s="32" t="str">
        <f t="shared" si="23"/>
        <v/>
      </c>
      <c r="J318" s="33"/>
      <c r="K318" s="33"/>
      <c r="L318" s="40"/>
      <c r="M318" s="40"/>
      <c r="N318" s="48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49"/>
      <c r="AG318" s="49"/>
      <c r="AH318" s="49"/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 s="49"/>
      <c r="BI318" s="49"/>
      <c r="BJ318" s="49"/>
      <c r="BK318" s="49"/>
      <c r="BL318" s="49"/>
      <c r="BM318" s="49"/>
      <c r="BN318" s="49"/>
      <c r="BO318" s="49"/>
      <c r="BP318" s="49"/>
      <c r="BQ318" s="49"/>
      <c r="BR318" s="49"/>
      <c r="BS318" s="49"/>
      <c r="BT318" s="49"/>
      <c r="BU318" s="49"/>
      <c r="BV318" s="49"/>
      <c r="BW318" s="49"/>
      <c r="BX318" s="49"/>
      <c r="BY318" s="49"/>
      <c r="BZ318" s="49"/>
      <c r="CA318" s="49"/>
      <c r="CB318" s="49"/>
      <c r="CC318" s="49"/>
      <c r="CD318" s="49"/>
      <c r="CE318" s="49"/>
      <c r="CF318" s="49"/>
      <c r="CG318" s="49"/>
      <c r="CH318" s="49"/>
      <c r="CI318" s="49"/>
      <c r="CJ318" s="49"/>
      <c r="CK318" s="49"/>
      <c r="CL318" s="49"/>
      <c r="CM318" s="49"/>
      <c r="CN318" s="49"/>
      <c r="CO318" s="49"/>
      <c r="CP318" s="49"/>
      <c r="CQ318" s="49"/>
      <c r="CR318" s="49"/>
      <c r="CS318" s="49"/>
      <c r="CT318" s="49"/>
      <c r="CU318" s="49"/>
      <c r="CV318" s="49"/>
      <c r="CW318" s="49"/>
      <c r="CX318" s="49"/>
      <c r="CY318" s="49"/>
      <c r="CZ318" s="49"/>
    </row>
    <row r="319" spans="2:113" ht="18" customHeight="1" x14ac:dyDescent="0.4">
      <c r="B319" s="27">
        <f t="shared" si="24"/>
        <v>308</v>
      </c>
      <c r="C319" s="28"/>
      <c r="D319" s="29"/>
      <c r="E319" s="29"/>
      <c r="F319" s="30"/>
      <c r="G319" s="31"/>
      <c r="H319" s="39"/>
      <c r="I319" s="32" t="str">
        <f t="shared" si="23"/>
        <v/>
      </c>
      <c r="J319" s="33"/>
      <c r="K319" s="33"/>
      <c r="L319" s="40"/>
      <c r="M319" s="40"/>
      <c r="N319" s="36"/>
      <c r="O319" s="36"/>
      <c r="P319" s="36"/>
      <c r="Q319" s="36"/>
      <c r="R319" s="38"/>
      <c r="S319" s="38"/>
      <c r="T319" s="38"/>
      <c r="U319" s="38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8"/>
      <c r="CZ319" s="38"/>
      <c r="DA319" s="13"/>
      <c r="DB319" s="13"/>
      <c r="DC319" s="13"/>
      <c r="DD319" s="13"/>
      <c r="DE319" s="13"/>
      <c r="DF319" s="13"/>
      <c r="DG319" s="13"/>
      <c r="DH319" s="13"/>
      <c r="DI319" s="13"/>
    </row>
    <row r="320" spans="2:113" ht="18" customHeight="1" x14ac:dyDescent="0.4">
      <c r="B320" s="27">
        <f t="shared" si="24"/>
        <v>309</v>
      </c>
      <c r="C320" s="28"/>
      <c r="D320" s="29"/>
      <c r="E320" s="29"/>
      <c r="F320" s="30"/>
      <c r="G320" s="31"/>
      <c r="H320" s="43"/>
      <c r="I320" s="32" t="str">
        <f t="shared" si="23"/>
        <v/>
      </c>
      <c r="J320" s="33"/>
      <c r="K320" s="33"/>
      <c r="L320" s="40"/>
      <c r="M320" s="40"/>
      <c r="N320" s="44"/>
      <c r="O320" s="36"/>
      <c r="P320" s="36"/>
      <c r="Q320" s="36"/>
      <c r="R320" s="36"/>
      <c r="S320" s="36"/>
      <c r="T320" s="38"/>
      <c r="U320" s="38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8"/>
      <c r="CZ320" s="38"/>
      <c r="DA320" s="13"/>
      <c r="DB320" s="13"/>
      <c r="DC320" s="13"/>
      <c r="DD320" s="13"/>
      <c r="DE320" s="13"/>
      <c r="DF320" s="13"/>
      <c r="DG320" s="13"/>
      <c r="DH320" s="13"/>
      <c r="DI320" s="13"/>
    </row>
    <row r="321" spans="2:113" ht="18" customHeight="1" x14ac:dyDescent="0.4">
      <c r="B321" s="27">
        <f t="shared" si="24"/>
        <v>310</v>
      </c>
      <c r="C321" s="28"/>
      <c r="D321" s="28"/>
      <c r="E321" s="29"/>
      <c r="F321" s="30"/>
      <c r="G321" s="31"/>
      <c r="H321" s="39"/>
      <c r="I321" s="32" t="str">
        <f t="shared" si="23"/>
        <v/>
      </c>
      <c r="J321" s="33"/>
      <c r="K321" s="33"/>
      <c r="L321" s="40"/>
      <c r="M321" s="40"/>
      <c r="N321" s="41"/>
      <c r="O321" s="36"/>
      <c r="P321" s="36"/>
      <c r="Q321" s="41"/>
      <c r="R321" s="38"/>
      <c r="S321" s="38"/>
      <c r="T321" s="38"/>
      <c r="U321" s="38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8"/>
      <c r="CZ321" s="38"/>
      <c r="DA321" s="13"/>
      <c r="DB321" s="13"/>
      <c r="DC321" s="13"/>
      <c r="DD321" s="13"/>
      <c r="DE321" s="13"/>
      <c r="DF321" s="13"/>
      <c r="DG321" s="13"/>
      <c r="DH321" s="13"/>
      <c r="DI321" s="13"/>
    </row>
    <row r="322" spans="2:113" ht="18" customHeight="1" x14ac:dyDescent="0.4">
      <c r="B322" s="27">
        <f t="shared" si="24"/>
        <v>311</v>
      </c>
      <c r="C322" s="28"/>
      <c r="D322" s="28"/>
      <c r="E322" s="29"/>
      <c r="F322" s="30"/>
      <c r="G322" s="31"/>
      <c r="H322" s="39"/>
      <c r="I322" s="32" t="str">
        <f t="shared" si="23"/>
        <v/>
      </c>
      <c r="J322" s="33"/>
      <c r="K322" s="33"/>
      <c r="L322" s="40"/>
      <c r="M322" s="40"/>
      <c r="N322" s="36"/>
      <c r="O322" s="36"/>
      <c r="P322" s="36"/>
      <c r="Q322" s="36"/>
      <c r="R322" s="38"/>
      <c r="S322" s="38"/>
      <c r="T322" s="38"/>
      <c r="U322" s="38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6"/>
      <c r="BG322" s="36"/>
      <c r="BH322" s="36"/>
      <c r="BI322" s="36"/>
      <c r="BJ322" s="50"/>
      <c r="BK322" s="50"/>
      <c r="BL322" s="50"/>
      <c r="BM322" s="50"/>
      <c r="BN322" s="50"/>
      <c r="BO322" s="36"/>
      <c r="BP322" s="36"/>
      <c r="BQ322" s="39"/>
      <c r="BR322" s="39"/>
      <c r="BS322" s="39"/>
      <c r="BT322" s="39"/>
      <c r="BU322" s="39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8"/>
      <c r="CZ322" s="38"/>
      <c r="DA322" s="13"/>
      <c r="DB322" s="13"/>
      <c r="DC322" s="13"/>
      <c r="DD322" s="13"/>
      <c r="DE322" s="13"/>
      <c r="DF322" s="13"/>
      <c r="DG322" s="13"/>
      <c r="DH322" s="13"/>
      <c r="DI322" s="13"/>
    </row>
    <row r="323" spans="2:113" ht="18" customHeight="1" x14ac:dyDescent="0.4">
      <c r="B323" s="27">
        <f t="shared" si="24"/>
        <v>312</v>
      </c>
      <c r="C323" s="28"/>
      <c r="D323" s="28"/>
      <c r="E323" s="29"/>
      <c r="F323" s="30"/>
      <c r="G323" s="31"/>
      <c r="H323" s="43"/>
      <c r="I323" s="32" t="str">
        <f t="shared" si="23"/>
        <v/>
      </c>
      <c r="J323" s="33"/>
      <c r="K323" s="33"/>
      <c r="L323" s="40"/>
      <c r="M323" s="40"/>
      <c r="N323" s="47"/>
      <c r="O323" s="36"/>
      <c r="P323" s="36"/>
      <c r="Q323" s="36"/>
      <c r="R323" s="38"/>
      <c r="S323" s="38"/>
      <c r="T323" s="38"/>
      <c r="U323" s="38"/>
      <c r="V323" s="42"/>
      <c r="W323" s="42"/>
      <c r="X323" s="42"/>
      <c r="Y323" s="42"/>
      <c r="Z323" s="42"/>
      <c r="AA323" s="37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8"/>
      <c r="CZ323" s="38"/>
      <c r="DA323" s="13"/>
      <c r="DB323" s="13"/>
      <c r="DC323" s="13"/>
      <c r="DD323" s="13"/>
      <c r="DE323" s="13"/>
      <c r="DF323" s="13"/>
      <c r="DG323" s="13"/>
      <c r="DH323" s="13"/>
      <c r="DI323" s="13"/>
    </row>
    <row r="324" spans="2:113" ht="18" customHeight="1" x14ac:dyDescent="0.4">
      <c r="B324" s="27">
        <f t="shared" si="24"/>
        <v>313</v>
      </c>
      <c r="C324" s="28"/>
      <c r="D324" s="29"/>
      <c r="E324" s="29"/>
      <c r="F324" s="30"/>
      <c r="G324" s="31"/>
      <c r="H324" s="39"/>
      <c r="I324" s="32" t="str">
        <f t="shared" si="23"/>
        <v/>
      </c>
      <c r="J324" s="33"/>
      <c r="K324" s="33"/>
      <c r="L324" s="40"/>
      <c r="M324" s="40"/>
      <c r="N324" s="44"/>
      <c r="O324" s="36"/>
      <c r="P324" s="36"/>
      <c r="Q324" s="36"/>
      <c r="R324" s="36"/>
      <c r="S324" s="36"/>
      <c r="T324" s="38"/>
      <c r="U324" s="38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8"/>
      <c r="CZ324" s="38"/>
      <c r="DA324" s="13"/>
      <c r="DB324" s="13"/>
      <c r="DC324" s="13"/>
      <c r="DD324" s="13"/>
      <c r="DE324" s="13"/>
      <c r="DF324" s="13"/>
      <c r="DG324" s="13"/>
      <c r="DH324" s="13"/>
      <c r="DI324" s="13"/>
    </row>
    <row r="325" spans="2:113" ht="18" customHeight="1" x14ac:dyDescent="0.4">
      <c r="B325" s="27">
        <f t="shared" si="24"/>
        <v>314</v>
      </c>
      <c r="C325" s="28"/>
      <c r="D325" s="51"/>
      <c r="E325" s="29"/>
      <c r="F325" s="30"/>
      <c r="G325" s="31"/>
      <c r="H325" s="39"/>
      <c r="I325" s="32" t="str">
        <f t="shared" si="23"/>
        <v/>
      </c>
      <c r="J325" s="33"/>
      <c r="K325" s="33"/>
      <c r="L325" s="34"/>
      <c r="M325" s="34"/>
      <c r="N325" s="48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49"/>
      <c r="AT325" s="49"/>
      <c r="AU325" s="49"/>
      <c r="AV325" s="49"/>
      <c r="AW325" s="49"/>
      <c r="AX325" s="49"/>
      <c r="AY325" s="49"/>
      <c r="AZ325" s="49"/>
      <c r="BA325" s="49"/>
      <c r="BB325" s="49"/>
      <c r="BC325" s="49"/>
      <c r="BD325" s="49"/>
      <c r="BE325" s="49"/>
      <c r="BF325" s="49"/>
      <c r="BG325" s="49"/>
      <c r="BH325" s="49"/>
      <c r="BI325" s="49"/>
      <c r="BJ325" s="49"/>
      <c r="BK325" s="49"/>
      <c r="BL325" s="49"/>
      <c r="BM325" s="49"/>
      <c r="BN325" s="49"/>
      <c r="BO325" s="49"/>
      <c r="BP325" s="49"/>
      <c r="BQ325" s="49"/>
      <c r="BR325" s="49"/>
      <c r="BS325" s="49"/>
      <c r="BT325" s="49"/>
      <c r="BU325" s="49"/>
      <c r="BV325" s="49"/>
      <c r="BW325" s="49"/>
      <c r="BX325" s="49"/>
      <c r="BY325" s="49"/>
      <c r="BZ325" s="49"/>
      <c r="CA325" s="49"/>
      <c r="CB325" s="49"/>
      <c r="CC325" s="49"/>
      <c r="CD325" s="49"/>
      <c r="CE325" s="49"/>
      <c r="CF325" s="49"/>
      <c r="CG325" s="49"/>
      <c r="CH325" s="49"/>
      <c r="CI325" s="49"/>
      <c r="CJ325" s="49"/>
      <c r="CK325" s="49"/>
      <c r="CL325" s="49"/>
      <c r="CM325" s="49"/>
      <c r="CN325" s="49"/>
      <c r="CO325" s="49"/>
      <c r="CP325" s="49"/>
      <c r="CQ325" s="49"/>
      <c r="CR325" s="49"/>
      <c r="CS325" s="49"/>
      <c r="CT325" s="49"/>
      <c r="CU325" s="49"/>
      <c r="CV325" s="49"/>
      <c r="CW325" s="49"/>
      <c r="CX325" s="49"/>
      <c r="CY325" s="49"/>
      <c r="CZ325" s="49"/>
    </row>
    <row r="326" spans="2:113" ht="18" customHeight="1" x14ac:dyDescent="0.4">
      <c r="B326" s="27">
        <f t="shared" si="24"/>
        <v>315</v>
      </c>
      <c r="C326" s="28"/>
      <c r="D326" s="29"/>
      <c r="E326" s="29"/>
      <c r="F326" s="30"/>
      <c r="G326" s="31"/>
      <c r="H326" s="39"/>
      <c r="I326" s="32" t="str">
        <f t="shared" si="23"/>
        <v/>
      </c>
      <c r="J326" s="33"/>
      <c r="K326" s="33"/>
      <c r="L326" s="34"/>
      <c r="M326" s="34"/>
      <c r="N326" s="36"/>
      <c r="O326" s="36"/>
      <c r="P326" s="36"/>
      <c r="Q326" s="36"/>
      <c r="R326" s="38"/>
      <c r="S326" s="38"/>
      <c r="T326" s="36"/>
      <c r="U326" s="36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8"/>
      <c r="CZ326" s="38"/>
      <c r="DA326" s="13"/>
      <c r="DB326" s="13"/>
      <c r="DC326" s="13"/>
      <c r="DD326" s="13"/>
      <c r="DE326" s="13"/>
      <c r="DF326" s="13"/>
      <c r="DG326" s="13"/>
      <c r="DH326" s="13"/>
      <c r="DI326" s="13"/>
    </row>
    <row r="327" spans="2:113" ht="18" customHeight="1" x14ac:dyDescent="0.4">
      <c r="B327" s="27">
        <f t="shared" si="24"/>
        <v>316</v>
      </c>
      <c r="C327" s="28"/>
      <c r="D327" s="29"/>
      <c r="E327" s="29"/>
      <c r="F327" s="30"/>
      <c r="G327" s="31"/>
      <c r="H327" s="39"/>
      <c r="I327" s="32" t="str">
        <f t="shared" si="23"/>
        <v/>
      </c>
      <c r="J327" s="33"/>
      <c r="K327" s="33"/>
      <c r="L327" s="34"/>
      <c r="M327" s="34"/>
      <c r="N327" s="44"/>
      <c r="O327" s="36"/>
      <c r="P327" s="36"/>
      <c r="Q327" s="36"/>
      <c r="R327" s="38"/>
      <c r="S327" s="38"/>
      <c r="T327" s="38"/>
      <c r="U327" s="38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8"/>
      <c r="CZ327" s="38"/>
      <c r="DA327" s="13"/>
      <c r="DB327" s="13"/>
      <c r="DC327" s="13"/>
      <c r="DD327" s="13"/>
      <c r="DE327" s="13"/>
      <c r="DF327" s="13"/>
      <c r="DG327" s="13"/>
      <c r="DH327" s="13"/>
      <c r="DI327" s="13"/>
    </row>
    <row r="328" spans="2:113" ht="18" customHeight="1" x14ac:dyDescent="0.4">
      <c r="B328" s="27">
        <f t="shared" si="24"/>
        <v>317</v>
      </c>
      <c r="C328" s="28"/>
      <c r="D328" s="29"/>
      <c r="E328" s="29"/>
      <c r="F328" s="30"/>
      <c r="G328" s="31"/>
      <c r="H328" s="43"/>
      <c r="I328" s="32" t="str">
        <f t="shared" si="23"/>
        <v/>
      </c>
      <c r="J328" s="33"/>
      <c r="K328" s="33"/>
      <c r="L328" s="34"/>
      <c r="M328" s="34"/>
      <c r="N328" s="44"/>
      <c r="O328" s="36"/>
      <c r="P328" s="36"/>
      <c r="Q328" s="36"/>
      <c r="R328" s="36"/>
      <c r="S328" s="36"/>
      <c r="T328" s="38"/>
      <c r="U328" s="38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8"/>
      <c r="CZ328" s="38"/>
      <c r="DA328" s="13"/>
      <c r="DB328" s="13"/>
      <c r="DC328" s="13"/>
      <c r="DD328" s="13"/>
      <c r="DE328" s="13"/>
      <c r="DF328" s="13"/>
      <c r="DG328" s="13"/>
      <c r="DH328" s="13"/>
      <c r="DI328" s="13"/>
    </row>
    <row r="329" spans="2:113" ht="18" customHeight="1" x14ac:dyDescent="0.4">
      <c r="B329" s="27">
        <f t="shared" si="24"/>
        <v>318</v>
      </c>
      <c r="C329" s="28"/>
      <c r="D329" s="29"/>
      <c r="E329" s="29"/>
      <c r="F329" s="30"/>
      <c r="G329" s="31"/>
      <c r="H329" s="39"/>
      <c r="I329" s="32" t="str">
        <f t="shared" si="23"/>
        <v/>
      </c>
      <c r="J329" s="33"/>
      <c r="K329" s="33"/>
      <c r="L329" s="40"/>
      <c r="M329" s="40"/>
      <c r="N329" s="44"/>
      <c r="O329" s="36"/>
      <c r="P329" s="36"/>
      <c r="Q329" s="36"/>
      <c r="R329" s="36"/>
      <c r="S329" s="36"/>
      <c r="T329" s="38"/>
      <c r="U329" s="38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8"/>
      <c r="CZ329" s="38"/>
      <c r="DA329" s="13"/>
      <c r="DB329" s="13"/>
      <c r="DC329" s="13"/>
      <c r="DD329" s="13"/>
      <c r="DE329" s="13"/>
      <c r="DF329" s="13"/>
      <c r="DG329" s="13"/>
      <c r="DH329" s="13"/>
      <c r="DI329" s="13"/>
    </row>
    <row r="330" spans="2:113" ht="18" customHeight="1" x14ac:dyDescent="0.4">
      <c r="B330" s="27">
        <f t="shared" si="24"/>
        <v>319</v>
      </c>
      <c r="C330" s="28"/>
      <c r="D330" s="29"/>
      <c r="E330" s="29"/>
      <c r="F330" s="30"/>
      <c r="G330" s="31"/>
      <c r="H330" s="39"/>
      <c r="I330" s="32" t="str">
        <f t="shared" si="23"/>
        <v/>
      </c>
      <c r="J330" s="33"/>
      <c r="K330" s="33"/>
      <c r="L330" s="34"/>
      <c r="M330" s="34"/>
      <c r="N330" s="36"/>
      <c r="O330" s="36"/>
      <c r="P330" s="36"/>
      <c r="Q330" s="36"/>
      <c r="R330" s="38"/>
      <c r="S330" s="38"/>
      <c r="T330" s="36"/>
      <c r="U330" s="36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8"/>
      <c r="CZ330" s="38"/>
      <c r="DA330" s="13"/>
      <c r="DB330" s="13"/>
      <c r="DC330" s="13"/>
      <c r="DD330" s="13"/>
      <c r="DE330" s="13"/>
      <c r="DF330" s="13"/>
      <c r="DG330" s="13"/>
      <c r="DH330" s="13"/>
      <c r="DI330" s="13"/>
    </row>
    <row r="331" spans="2:113" ht="18" customHeight="1" x14ac:dyDescent="0.4">
      <c r="B331" s="27">
        <f t="shared" si="24"/>
        <v>320</v>
      </c>
      <c r="C331" s="28"/>
      <c r="D331" s="28"/>
      <c r="E331" s="29"/>
      <c r="F331" s="30"/>
      <c r="G331" s="31"/>
      <c r="H331" s="39"/>
      <c r="I331" s="32" t="str">
        <f t="shared" si="23"/>
        <v/>
      </c>
      <c r="J331" s="33"/>
      <c r="K331" s="33"/>
      <c r="L331" s="40"/>
      <c r="M331" s="40"/>
      <c r="N331" s="36"/>
      <c r="O331" s="36"/>
      <c r="P331" s="36"/>
      <c r="Q331" s="36"/>
      <c r="R331" s="38"/>
      <c r="S331" s="38"/>
      <c r="T331" s="36"/>
      <c r="U331" s="36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8"/>
      <c r="CZ331" s="38"/>
      <c r="DA331" s="13"/>
      <c r="DB331" s="13"/>
      <c r="DC331" s="13"/>
      <c r="DD331" s="13"/>
      <c r="DE331" s="13"/>
      <c r="DF331" s="13"/>
      <c r="DG331" s="13"/>
      <c r="DH331" s="13"/>
      <c r="DI331" s="13"/>
    </row>
    <row r="332" spans="2:113" ht="18" customHeight="1" x14ac:dyDescent="0.4">
      <c r="B332" s="27">
        <f t="shared" si="24"/>
        <v>321</v>
      </c>
      <c r="C332" s="28"/>
      <c r="D332" s="29"/>
      <c r="E332" s="29"/>
      <c r="F332" s="30"/>
      <c r="G332" s="31"/>
      <c r="H332" s="39"/>
      <c r="I332" s="32" t="str">
        <f t="shared" si="23"/>
        <v/>
      </c>
      <c r="J332" s="33"/>
      <c r="K332" s="33"/>
      <c r="L332" s="40"/>
      <c r="M332" s="40"/>
      <c r="N332" s="36"/>
      <c r="O332" s="36"/>
      <c r="P332" s="36"/>
      <c r="Q332" s="36"/>
      <c r="R332" s="38"/>
      <c r="S332" s="38"/>
      <c r="T332" s="36"/>
      <c r="U332" s="36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8"/>
      <c r="CZ332" s="38"/>
      <c r="DA332" s="13"/>
      <c r="DB332" s="13"/>
      <c r="DC332" s="13"/>
      <c r="DD332" s="13"/>
      <c r="DE332" s="13"/>
      <c r="DF332" s="13"/>
      <c r="DG332" s="13"/>
      <c r="DH332" s="13"/>
      <c r="DI332" s="13"/>
    </row>
    <row r="333" spans="2:113" ht="18" customHeight="1" x14ac:dyDescent="0.4">
      <c r="B333" s="27">
        <f t="shared" si="24"/>
        <v>322</v>
      </c>
      <c r="C333" s="28"/>
      <c r="D333" s="29"/>
      <c r="E333" s="29"/>
      <c r="F333" s="30"/>
      <c r="G333" s="31"/>
      <c r="H333" s="39"/>
      <c r="I333" s="32" t="str">
        <f t="shared" si="23"/>
        <v/>
      </c>
      <c r="J333" s="33"/>
      <c r="K333" s="33"/>
      <c r="L333" s="40"/>
      <c r="M333" s="40"/>
      <c r="N333" s="36"/>
      <c r="O333" s="36"/>
      <c r="P333" s="36"/>
      <c r="Q333" s="36"/>
      <c r="R333" s="38"/>
      <c r="S333" s="38"/>
      <c r="T333" s="36"/>
      <c r="U333" s="36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8"/>
      <c r="CZ333" s="38"/>
      <c r="DA333" s="13"/>
      <c r="DB333" s="13"/>
      <c r="DC333" s="13"/>
      <c r="DD333" s="13"/>
      <c r="DE333" s="13"/>
      <c r="DF333" s="13"/>
      <c r="DG333" s="13"/>
      <c r="DH333" s="13"/>
      <c r="DI333" s="13"/>
    </row>
    <row r="334" spans="2:113" ht="18" customHeight="1" x14ac:dyDescent="0.4">
      <c r="B334" s="27">
        <f t="shared" si="24"/>
        <v>323</v>
      </c>
      <c r="C334" s="28"/>
      <c r="D334" s="29"/>
      <c r="E334" s="29"/>
      <c r="F334" s="30"/>
      <c r="G334" s="31"/>
      <c r="H334" s="39"/>
      <c r="I334" s="32" t="str">
        <f t="shared" si="23"/>
        <v/>
      </c>
      <c r="J334" s="33"/>
      <c r="K334" s="33"/>
      <c r="L334" s="34"/>
      <c r="M334" s="34"/>
      <c r="N334" s="36"/>
      <c r="O334" s="36"/>
      <c r="P334" s="36"/>
      <c r="Q334" s="36"/>
      <c r="R334" s="38"/>
      <c r="S334" s="38"/>
      <c r="T334" s="38"/>
      <c r="U334" s="38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50"/>
      <c r="BY334" s="50"/>
      <c r="BZ334" s="50"/>
      <c r="CA334" s="50"/>
      <c r="CB334" s="50"/>
      <c r="CC334" s="36"/>
      <c r="CD334" s="36"/>
      <c r="CE334" s="50"/>
      <c r="CF334" s="50"/>
      <c r="CG334" s="50"/>
      <c r="CH334" s="50"/>
      <c r="CI334" s="50"/>
      <c r="CJ334" s="36"/>
      <c r="CK334" s="36"/>
      <c r="CL334" s="50"/>
      <c r="CM334" s="50"/>
      <c r="CN334" s="50"/>
      <c r="CO334" s="50"/>
      <c r="CP334" s="50"/>
      <c r="CQ334" s="36"/>
      <c r="CR334" s="36"/>
      <c r="CS334" s="39"/>
      <c r="CT334" s="39"/>
      <c r="CU334" s="39"/>
      <c r="CV334" s="39"/>
      <c r="CW334" s="39"/>
      <c r="CX334" s="36"/>
      <c r="CY334" s="38"/>
      <c r="CZ334" s="38"/>
      <c r="DA334" s="13"/>
      <c r="DB334" s="13"/>
      <c r="DC334" s="13"/>
      <c r="DD334" s="13"/>
      <c r="DE334" s="13"/>
      <c r="DF334" s="13"/>
      <c r="DG334" s="13"/>
      <c r="DH334" s="13"/>
      <c r="DI334" s="13"/>
    </row>
    <row r="335" spans="2:113" ht="18" customHeight="1" x14ac:dyDescent="0.4">
      <c r="B335" s="27">
        <f t="shared" si="24"/>
        <v>324</v>
      </c>
      <c r="C335" s="28"/>
      <c r="D335" s="29"/>
      <c r="E335" s="29"/>
      <c r="F335" s="30"/>
      <c r="G335" s="31"/>
      <c r="H335" s="43"/>
      <c r="I335" s="32" t="str">
        <f t="shared" si="23"/>
        <v/>
      </c>
      <c r="J335" s="33"/>
      <c r="K335" s="33"/>
      <c r="L335" s="40"/>
      <c r="M335" s="40"/>
      <c r="N335" s="36"/>
      <c r="O335" s="36"/>
      <c r="P335" s="36"/>
      <c r="Q335" s="36"/>
      <c r="R335" s="38"/>
      <c r="S335" s="38"/>
      <c r="T335" s="38"/>
      <c r="U335" s="38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50"/>
      <c r="BG335" s="50"/>
      <c r="BH335" s="36"/>
      <c r="BI335" s="36"/>
      <c r="BJ335" s="50"/>
      <c r="BK335" s="50"/>
      <c r="BL335" s="50"/>
      <c r="BM335" s="50"/>
      <c r="BN335" s="50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8"/>
      <c r="CZ335" s="38"/>
      <c r="DA335" s="13"/>
      <c r="DB335" s="13"/>
      <c r="DC335" s="13"/>
      <c r="DD335" s="13"/>
      <c r="DE335" s="13"/>
      <c r="DF335" s="13"/>
      <c r="DG335" s="13"/>
      <c r="DH335" s="13"/>
      <c r="DI335" s="13"/>
    </row>
    <row r="336" spans="2:113" ht="18" customHeight="1" x14ac:dyDescent="0.4">
      <c r="B336" s="27">
        <f t="shared" si="24"/>
        <v>325</v>
      </c>
      <c r="C336" s="28"/>
      <c r="D336" s="29"/>
      <c r="E336" s="29"/>
      <c r="F336" s="30"/>
      <c r="G336" s="31"/>
      <c r="H336" s="39"/>
      <c r="I336" s="32" t="str">
        <f t="shared" si="23"/>
        <v/>
      </c>
      <c r="J336" s="33"/>
      <c r="K336" s="33"/>
      <c r="L336" s="40"/>
      <c r="M336" s="40"/>
      <c r="N336" s="36"/>
      <c r="O336" s="36"/>
      <c r="P336" s="36"/>
      <c r="Q336" s="36"/>
      <c r="R336" s="38"/>
      <c r="S336" s="38"/>
      <c r="T336" s="52"/>
      <c r="U336" s="5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39"/>
      <c r="BG336" s="39"/>
      <c r="BH336" s="36"/>
      <c r="BI336" s="36"/>
      <c r="BJ336" s="39"/>
      <c r="BK336" s="39"/>
      <c r="BL336" s="39"/>
      <c r="BM336" s="39"/>
      <c r="BN336" s="39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8"/>
      <c r="CZ336" s="38"/>
      <c r="DA336" s="13"/>
      <c r="DB336" s="13"/>
      <c r="DC336" s="13"/>
      <c r="DD336" s="13"/>
      <c r="DE336" s="13"/>
      <c r="DF336" s="13"/>
      <c r="DG336" s="13"/>
      <c r="DH336" s="13"/>
      <c r="DI336" s="13"/>
    </row>
    <row r="337" spans="2:113" ht="18" customHeight="1" x14ac:dyDescent="0.4">
      <c r="B337" s="27">
        <f t="shared" si="24"/>
        <v>326</v>
      </c>
      <c r="C337" s="28"/>
      <c r="D337" s="28"/>
      <c r="E337" s="29"/>
      <c r="F337" s="30"/>
      <c r="G337" s="31"/>
      <c r="H337" s="43"/>
      <c r="I337" s="32" t="str">
        <f t="shared" si="23"/>
        <v/>
      </c>
      <c r="J337" s="33"/>
      <c r="K337" s="33"/>
      <c r="L337" s="34"/>
      <c r="M337" s="34"/>
      <c r="N337" s="44"/>
      <c r="O337" s="36"/>
      <c r="P337" s="36"/>
      <c r="Q337" s="36"/>
      <c r="R337" s="36"/>
      <c r="S337" s="36"/>
      <c r="T337" s="38"/>
      <c r="U337" s="38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8"/>
      <c r="CZ337" s="38"/>
      <c r="DA337" s="13"/>
      <c r="DB337" s="13"/>
      <c r="DC337" s="13"/>
      <c r="DD337" s="13"/>
      <c r="DE337" s="13"/>
      <c r="DF337" s="13"/>
      <c r="DG337" s="13"/>
      <c r="DH337" s="13"/>
      <c r="DI337" s="13"/>
    </row>
    <row r="338" spans="2:113" ht="18" customHeight="1" x14ac:dyDescent="0.4">
      <c r="B338" s="27">
        <f t="shared" si="24"/>
        <v>327</v>
      </c>
      <c r="C338" s="28"/>
      <c r="D338" s="29"/>
      <c r="E338" s="29"/>
      <c r="F338" s="30"/>
      <c r="G338" s="31"/>
      <c r="H338" s="45"/>
      <c r="I338" s="32" t="str">
        <f t="shared" si="23"/>
        <v/>
      </c>
      <c r="J338" s="33"/>
      <c r="K338" s="33"/>
      <c r="L338" s="46"/>
      <c r="M338" s="46"/>
      <c r="N338" s="36"/>
      <c r="O338" s="36"/>
      <c r="P338" s="36"/>
      <c r="Q338" s="36"/>
      <c r="R338" s="38"/>
      <c r="S338" s="38"/>
      <c r="T338" s="52"/>
      <c r="U338" s="5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8"/>
      <c r="CZ338" s="38"/>
      <c r="DA338" s="13"/>
      <c r="DB338" s="13"/>
      <c r="DC338" s="13"/>
      <c r="DD338" s="13"/>
      <c r="DE338" s="13"/>
      <c r="DF338" s="13"/>
      <c r="DG338" s="13"/>
      <c r="DH338" s="13"/>
      <c r="DI338" s="13"/>
    </row>
    <row r="339" spans="2:113" ht="18" customHeight="1" x14ac:dyDescent="0.4">
      <c r="B339" s="27">
        <f t="shared" si="24"/>
        <v>328</v>
      </c>
      <c r="C339" s="28"/>
      <c r="D339" s="29"/>
      <c r="E339" s="29"/>
      <c r="F339" s="30"/>
      <c r="G339" s="31"/>
      <c r="H339" s="45"/>
      <c r="I339" s="32" t="str">
        <f t="shared" si="23"/>
        <v/>
      </c>
      <c r="J339" s="33"/>
      <c r="K339" s="33"/>
      <c r="L339" s="46"/>
      <c r="M339" s="46"/>
      <c r="N339" s="41"/>
      <c r="O339" s="36"/>
      <c r="P339" s="36"/>
      <c r="Q339" s="41"/>
      <c r="R339" s="38"/>
      <c r="S339" s="38"/>
      <c r="T339" s="38"/>
      <c r="U339" s="38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37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8"/>
      <c r="CZ339" s="38"/>
      <c r="DA339" s="13"/>
      <c r="DB339" s="13"/>
      <c r="DC339" s="13"/>
      <c r="DD339" s="13"/>
      <c r="DE339" s="13"/>
      <c r="DF339" s="13"/>
      <c r="DG339" s="13"/>
      <c r="DH339" s="13"/>
      <c r="DI339" s="13"/>
    </row>
    <row r="340" spans="2:113" ht="18" customHeight="1" x14ac:dyDescent="0.4">
      <c r="B340" s="27">
        <f t="shared" si="24"/>
        <v>329</v>
      </c>
      <c r="C340" s="28"/>
      <c r="D340" s="28"/>
      <c r="E340" s="29"/>
      <c r="F340" s="30"/>
      <c r="G340" s="31"/>
      <c r="H340" s="43"/>
      <c r="I340" s="32" t="str">
        <f t="shared" si="23"/>
        <v/>
      </c>
      <c r="J340" s="33"/>
      <c r="K340" s="33"/>
      <c r="L340" s="34"/>
      <c r="M340" s="34"/>
      <c r="N340" s="36"/>
      <c r="O340" s="36"/>
      <c r="P340" s="36"/>
      <c r="Q340" s="36"/>
      <c r="R340" s="38"/>
      <c r="S340" s="38"/>
      <c r="T340" s="38"/>
      <c r="U340" s="38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8"/>
      <c r="CZ340" s="38"/>
      <c r="DA340" s="13"/>
      <c r="DB340" s="13"/>
      <c r="DC340" s="13"/>
      <c r="DD340" s="13"/>
      <c r="DE340" s="13"/>
      <c r="DF340" s="13"/>
      <c r="DG340" s="13"/>
      <c r="DH340" s="13"/>
      <c r="DI340" s="13"/>
    </row>
    <row r="341" spans="2:113" ht="18" customHeight="1" x14ac:dyDescent="0.4">
      <c r="B341" s="27">
        <f t="shared" si="24"/>
        <v>330</v>
      </c>
      <c r="C341" s="28"/>
      <c r="D341" s="28"/>
      <c r="E341" s="29"/>
      <c r="F341" s="30"/>
      <c r="G341" s="31"/>
      <c r="H341" s="39"/>
      <c r="I341" s="32" t="str">
        <f t="shared" si="23"/>
        <v/>
      </c>
      <c r="J341" s="33"/>
      <c r="K341" s="33"/>
      <c r="L341" s="34"/>
      <c r="M341" s="34"/>
      <c r="N341" s="47"/>
      <c r="O341" s="36"/>
      <c r="P341" s="36"/>
      <c r="Q341" s="36"/>
      <c r="R341" s="38"/>
      <c r="S341" s="38"/>
      <c r="T341" s="38"/>
      <c r="U341" s="38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8"/>
      <c r="CZ341" s="38"/>
      <c r="DA341" s="13"/>
      <c r="DB341" s="13"/>
      <c r="DC341" s="13"/>
      <c r="DD341" s="13"/>
      <c r="DE341" s="13"/>
      <c r="DF341" s="13"/>
      <c r="DG341" s="13"/>
      <c r="DH341" s="13"/>
      <c r="DI341" s="13"/>
    </row>
    <row r="342" spans="2:113" ht="18" customHeight="1" x14ac:dyDescent="0.4">
      <c r="B342" s="27">
        <f t="shared" si="24"/>
        <v>331</v>
      </c>
      <c r="C342" s="28"/>
      <c r="D342" s="28"/>
      <c r="E342" s="29"/>
      <c r="F342" s="30"/>
      <c r="G342" s="31"/>
      <c r="H342" s="43"/>
      <c r="I342" s="32" t="str">
        <f t="shared" si="23"/>
        <v/>
      </c>
      <c r="J342" s="33"/>
      <c r="K342" s="33"/>
      <c r="L342" s="34"/>
      <c r="M342" s="34"/>
      <c r="N342" s="36"/>
      <c r="O342" s="36"/>
      <c r="P342" s="36"/>
      <c r="Q342" s="36"/>
      <c r="R342" s="38"/>
      <c r="S342" s="38"/>
      <c r="T342" s="53"/>
      <c r="U342" s="53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8"/>
      <c r="CZ342" s="38"/>
      <c r="DA342" s="13"/>
      <c r="DB342" s="13"/>
      <c r="DC342" s="13"/>
      <c r="DD342" s="13"/>
      <c r="DE342" s="13"/>
      <c r="DF342" s="13"/>
      <c r="DG342" s="13"/>
      <c r="DH342" s="13"/>
      <c r="DI342" s="13"/>
    </row>
    <row r="343" spans="2:113" ht="18" customHeight="1" x14ac:dyDescent="0.4">
      <c r="B343" s="27">
        <f t="shared" si="24"/>
        <v>332</v>
      </c>
      <c r="C343" s="28"/>
      <c r="D343" s="29"/>
      <c r="E343" s="29"/>
      <c r="F343" s="30"/>
      <c r="G343" s="31"/>
      <c r="H343" s="39"/>
      <c r="I343" s="32" t="str">
        <f t="shared" si="23"/>
        <v/>
      </c>
      <c r="J343" s="33"/>
      <c r="K343" s="33"/>
      <c r="L343" s="34"/>
      <c r="M343" s="34"/>
      <c r="N343" s="44"/>
      <c r="O343" s="36"/>
      <c r="P343" s="36"/>
      <c r="Q343" s="36"/>
      <c r="R343" s="38"/>
      <c r="S343" s="38"/>
      <c r="T343" s="38"/>
      <c r="U343" s="38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8"/>
      <c r="CZ343" s="38"/>
      <c r="DA343" s="13"/>
      <c r="DB343" s="13"/>
      <c r="DC343" s="13"/>
      <c r="DD343" s="13"/>
      <c r="DE343" s="13"/>
      <c r="DF343" s="13"/>
      <c r="DG343" s="13"/>
      <c r="DH343" s="13"/>
      <c r="DI343" s="13"/>
    </row>
    <row r="344" spans="2:113" ht="18" customHeight="1" x14ac:dyDescent="0.4">
      <c r="B344" s="27">
        <f t="shared" si="24"/>
        <v>333</v>
      </c>
      <c r="C344" s="28"/>
      <c r="D344" s="29"/>
      <c r="E344" s="29"/>
      <c r="F344" s="30"/>
      <c r="G344" s="31"/>
      <c r="H344" s="43"/>
      <c r="I344" s="32" t="str">
        <f t="shared" si="23"/>
        <v/>
      </c>
      <c r="J344" s="33"/>
      <c r="K344" s="33"/>
      <c r="L344" s="34"/>
      <c r="M344" s="34"/>
      <c r="N344" s="54"/>
      <c r="O344" s="54"/>
      <c r="P344" s="54"/>
      <c r="Q344" s="54"/>
      <c r="R344" s="38"/>
      <c r="S344" s="38"/>
      <c r="T344" s="38"/>
      <c r="U344" s="38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8"/>
      <c r="CZ344" s="38"/>
      <c r="DA344" s="13"/>
      <c r="DB344" s="13"/>
      <c r="DC344" s="13"/>
      <c r="DD344" s="13"/>
      <c r="DE344" s="13"/>
      <c r="DF344" s="13"/>
      <c r="DG344" s="13"/>
      <c r="DH344" s="13"/>
      <c r="DI344" s="13"/>
    </row>
    <row r="345" spans="2:113" ht="18" customHeight="1" x14ac:dyDescent="0.4">
      <c r="B345" s="27">
        <f t="shared" si="24"/>
        <v>334</v>
      </c>
      <c r="C345" s="28"/>
      <c r="D345" s="29"/>
      <c r="E345" s="29"/>
      <c r="F345" s="30"/>
      <c r="G345" s="31"/>
      <c r="H345" s="43"/>
      <c r="I345" s="32" t="str">
        <f t="shared" si="23"/>
        <v/>
      </c>
      <c r="J345" s="33"/>
      <c r="K345" s="33"/>
      <c r="L345" s="34"/>
      <c r="M345" s="34"/>
      <c r="N345" s="54"/>
      <c r="O345" s="54"/>
      <c r="P345" s="54"/>
      <c r="Q345" s="54"/>
      <c r="R345" s="38"/>
      <c r="S345" s="38"/>
      <c r="T345" s="54"/>
      <c r="U345" s="54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8"/>
      <c r="CZ345" s="38"/>
      <c r="DA345" s="13"/>
      <c r="DB345" s="13"/>
      <c r="DC345" s="13"/>
      <c r="DD345" s="13"/>
      <c r="DE345" s="13"/>
      <c r="DF345" s="13"/>
      <c r="DG345" s="13"/>
      <c r="DH345" s="13"/>
      <c r="DI345" s="13"/>
    </row>
    <row r="346" spans="2:113" ht="18" customHeight="1" x14ac:dyDescent="0.4">
      <c r="B346" s="27">
        <f t="shared" si="24"/>
        <v>335</v>
      </c>
      <c r="C346" s="28"/>
      <c r="D346" s="29"/>
      <c r="E346" s="29"/>
      <c r="F346" s="30"/>
      <c r="G346" s="31"/>
      <c r="H346" s="39"/>
      <c r="I346" s="32" t="str">
        <f t="shared" si="23"/>
        <v/>
      </c>
      <c r="J346" s="33"/>
      <c r="K346" s="33"/>
      <c r="L346" s="40"/>
      <c r="M346" s="40"/>
      <c r="N346" s="44"/>
      <c r="O346" s="36"/>
      <c r="P346" s="36"/>
      <c r="Q346" s="36"/>
      <c r="R346" s="36"/>
      <c r="S346" s="36"/>
      <c r="T346" s="38"/>
      <c r="U346" s="38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8"/>
      <c r="CZ346" s="38"/>
      <c r="DA346" s="13"/>
      <c r="DB346" s="13"/>
      <c r="DC346" s="13"/>
      <c r="DD346" s="13"/>
      <c r="DE346" s="13"/>
      <c r="DF346" s="13"/>
      <c r="DG346" s="13"/>
      <c r="DH346" s="13"/>
      <c r="DI346" s="13"/>
    </row>
    <row r="347" spans="2:113" ht="18" customHeight="1" x14ac:dyDescent="0.4">
      <c r="B347" s="27">
        <f t="shared" si="24"/>
        <v>336</v>
      </c>
      <c r="C347" s="28"/>
      <c r="D347" s="29"/>
      <c r="E347" s="29"/>
      <c r="F347" s="30"/>
      <c r="G347" s="31"/>
      <c r="H347" s="39"/>
      <c r="I347" s="32" t="str">
        <f t="shared" si="23"/>
        <v/>
      </c>
      <c r="J347" s="33"/>
      <c r="K347" s="33"/>
      <c r="L347" s="40"/>
      <c r="M347" s="40"/>
      <c r="N347" s="36"/>
      <c r="O347" s="36"/>
      <c r="P347" s="36"/>
      <c r="Q347" s="36"/>
      <c r="R347" s="38"/>
      <c r="S347" s="38"/>
      <c r="T347" s="38"/>
      <c r="U347" s="38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50"/>
      <c r="BG347" s="50"/>
      <c r="BH347" s="36"/>
      <c r="BI347" s="36"/>
      <c r="BJ347" s="50"/>
      <c r="BK347" s="50"/>
      <c r="BL347" s="50"/>
      <c r="BM347" s="50"/>
      <c r="BN347" s="50"/>
      <c r="BO347" s="36"/>
      <c r="BP347" s="36"/>
      <c r="BQ347" s="39"/>
      <c r="BR347" s="39"/>
      <c r="BS347" s="39"/>
      <c r="BT347" s="39"/>
      <c r="BU347" s="39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8"/>
      <c r="CZ347" s="38"/>
      <c r="DA347" s="13"/>
      <c r="DB347" s="13"/>
      <c r="DC347" s="13"/>
      <c r="DD347" s="13"/>
      <c r="DE347" s="13"/>
      <c r="DF347" s="13"/>
      <c r="DG347" s="13"/>
      <c r="DH347" s="13"/>
      <c r="DI347" s="13"/>
    </row>
    <row r="348" spans="2:113" ht="18" customHeight="1" x14ac:dyDescent="0.4">
      <c r="B348" s="27">
        <f t="shared" si="24"/>
        <v>337</v>
      </c>
      <c r="C348" s="28"/>
      <c r="D348" s="29"/>
      <c r="E348" s="29"/>
      <c r="F348" s="30"/>
      <c r="G348" s="31"/>
      <c r="H348" s="39"/>
      <c r="I348" s="32" t="str">
        <f t="shared" si="23"/>
        <v/>
      </c>
      <c r="J348" s="33"/>
      <c r="K348" s="33"/>
      <c r="L348" s="40"/>
      <c r="M348" s="40"/>
      <c r="N348" s="36"/>
      <c r="O348" s="41"/>
      <c r="P348" s="41"/>
      <c r="Q348" s="41"/>
      <c r="R348" s="38"/>
      <c r="S348" s="38"/>
      <c r="T348" s="38"/>
      <c r="U348" s="38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8"/>
      <c r="CZ348" s="38"/>
      <c r="DA348" s="13"/>
      <c r="DB348" s="13"/>
      <c r="DC348" s="13"/>
      <c r="DD348" s="13"/>
      <c r="DE348" s="13"/>
      <c r="DF348" s="13"/>
      <c r="DG348" s="13"/>
      <c r="DH348" s="13"/>
      <c r="DI348" s="13"/>
    </row>
    <row r="349" spans="2:113" ht="18" customHeight="1" x14ac:dyDescent="0.4">
      <c r="B349" s="27">
        <f t="shared" si="24"/>
        <v>338</v>
      </c>
      <c r="C349" s="28"/>
      <c r="D349" s="29"/>
      <c r="E349" s="29"/>
      <c r="F349" s="30"/>
      <c r="G349" s="31"/>
      <c r="H349" s="39"/>
      <c r="I349" s="32" t="str">
        <f t="shared" si="23"/>
        <v/>
      </c>
      <c r="J349" s="33"/>
      <c r="K349" s="33"/>
      <c r="L349" s="34"/>
      <c r="M349" s="34"/>
      <c r="N349" s="36"/>
      <c r="O349" s="36"/>
      <c r="P349" s="36"/>
      <c r="Q349" s="36"/>
      <c r="R349" s="38"/>
      <c r="S349" s="38"/>
      <c r="T349" s="52"/>
      <c r="U349" s="52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8"/>
      <c r="CZ349" s="38"/>
      <c r="DA349" s="13"/>
      <c r="DB349" s="13"/>
      <c r="DC349" s="13"/>
      <c r="DD349" s="13"/>
      <c r="DE349" s="13"/>
      <c r="DF349" s="13"/>
      <c r="DG349" s="13"/>
      <c r="DH349" s="13"/>
      <c r="DI349" s="13"/>
    </row>
    <row r="350" spans="2:113" ht="18" customHeight="1" x14ac:dyDescent="0.4">
      <c r="B350" s="27">
        <f t="shared" si="24"/>
        <v>339</v>
      </c>
      <c r="C350" s="28"/>
      <c r="D350" s="29"/>
      <c r="E350" s="29"/>
      <c r="F350" s="30"/>
      <c r="G350" s="31"/>
      <c r="H350" s="39"/>
      <c r="I350" s="32" t="str">
        <f t="shared" si="23"/>
        <v/>
      </c>
      <c r="J350" s="33"/>
      <c r="K350" s="33"/>
      <c r="L350" s="40"/>
      <c r="M350" s="40"/>
      <c r="N350" s="36"/>
      <c r="O350" s="36"/>
      <c r="P350" s="36"/>
      <c r="Q350" s="36"/>
      <c r="R350" s="38"/>
      <c r="S350" s="38"/>
      <c r="T350" s="52"/>
      <c r="U350" s="52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8"/>
      <c r="CZ350" s="38"/>
      <c r="DA350" s="13"/>
      <c r="DB350" s="13"/>
      <c r="DC350" s="13"/>
      <c r="DD350" s="13"/>
      <c r="DE350" s="13"/>
      <c r="DF350" s="13"/>
      <c r="DG350" s="13"/>
      <c r="DH350" s="13"/>
      <c r="DI350" s="13"/>
    </row>
    <row r="351" spans="2:113" ht="18" customHeight="1" x14ac:dyDescent="0.4">
      <c r="B351" s="27">
        <f t="shared" si="24"/>
        <v>340</v>
      </c>
      <c r="C351" s="28"/>
      <c r="D351" s="29"/>
      <c r="E351" s="29"/>
      <c r="F351" s="30"/>
      <c r="G351" s="31"/>
      <c r="H351" s="39"/>
      <c r="I351" s="32" t="str">
        <f t="shared" si="23"/>
        <v/>
      </c>
      <c r="J351" s="33"/>
      <c r="K351" s="33"/>
      <c r="L351" s="34"/>
      <c r="M351" s="34"/>
      <c r="N351" s="48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49"/>
      <c r="AG351" s="49"/>
      <c r="AH351" s="49"/>
      <c r="AI351" s="49"/>
      <c r="AJ351" s="49"/>
      <c r="AK351" s="49"/>
      <c r="AL351" s="49"/>
      <c r="AM351" s="49"/>
      <c r="AN351" s="49"/>
      <c r="AO351" s="49"/>
      <c r="AP351" s="49"/>
      <c r="AQ351" s="49"/>
      <c r="AR351" s="49"/>
      <c r="AS351" s="49"/>
      <c r="AT351" s="49"/>
      <c r="AU351" s="49"/>
      <c r="AV351" s="49"/>
      <c r="AW351" s="49"/>
      <c r="AX351" s="49"/>
      <c r="AY351" s="49"/>
      <c r="AZ351" s="49"/>
      <c r="BA351" s="49"/>
      <c r="BB351" s="49"/>
      <c r="BC351" s="49"/>
      <c r="BD351" s="49"/>
      <c r="BE351" s="49"/>
      <c r="BF351" s="49"/>
      <c r="BG351" s="49"/>
      <c r="BH351" s="49"/>
      <c r="BI351" s="49"/>
      <c r="BJ351" s="49"/>
      <c r="BK351" s="49"/>
      <c r="BL351" s="49"/>
      <c r="BM351" s="49"/>
      <c r="BN351" s="49"/>
      <c r="BO351" s="49"/>
      <c r="BP351" s="49"/>
      <c r="BQ351" s="49"/>
      <c r="BR351" s="49"/>
      <c r="BS351" s="49"/>
      <c r="BT351" s="49"/>
      <c r="BU351" s="49"/>
      <c r="BV351" s="49"/>
      <c r="BW351" s="49"/>
      <c r="BX351" s="49"/>
      <c r="BY351" s="49"/>
      <c r="BZ351" s="49"/>
      <c r="CA351" s="49"/>
      <c r="CB351" s="49"/>
      <c r="CC351" s="49"/>
      <c r="CD351" s="49"/>
      <c r="CE351" s="49"/>
      <c r="CF351" s="49"/>
      <c r="CG351" s="49"/>
      <c r="CH351" s="49"/>
      <c r="CI351" s="49"/>
      <c r="CJ351" s="49"/>
      <c r="CK351" s="49"/>
      <c r="CL351" s="49"/>
      <c r="CM351" s="49"/>
      <c r="CN351" s="49"/>
      <c r="CO351" s="49"/>
      <c r="CP351" s="49"/>
      <c r="CQ351" s="49"/>
      <c r="CR351" s="49"/>
      <c r="CS351" s="49"/>
      <c r="CT351" s="49"/>
      <c r="CU351" s="49"/>
      <c r="CV351" s="49"/>
      <c r="CW351" s="49"/>
      <c r="CX351" s="49"/>
      <c r="CY351" s="49"/>
      <c r="CZ351" s="49"/>
    </row>
    <row r="352" spans="2:113" ht="18" customHeight="1" x14ac:dyDescent="0.4">
      <c r="B352" s="27">
        <f t="shared" si="24"/>
        <v>341</v>
      </c>
      <c r="C352" s="28"/>
      <c r="D352" s="29"/>
      <c r="E352" s="29"/>
      <c r="F352" s="30"/>
      <c r="G352" s="31"/>
      <c r="H352" s="45"/>
      <c r="I352" s="32" t="str">
        <f t="shared" si="23"/>
        <v/>
      </c>
      <c r="J352" s="33"/>
      <c r="K352" s="33"/>
      <c r="L352" s="46"/>
      <c r="M352" s="46"/>
      <c r="N352" s="48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49"/>
      <c r="AG352" s="49"/>
      <c r="AH352" s="49"/>
      <c r="AI352" s="49"/>
      <c r="AJ352" s="49"/>
      <c r="AK352" s="49"/>
      <c r="AL352" s="49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/>
      <c r="AY352" s="49"/>
      <c r="AZ352" s="49"/>
      <c r="BA352" s="49"/>
      <c r="BB352" s="49"/>
      <c r="BC352" s="49"/>
      <c r="BD352" s="49"/>
      <c r="BE352" s="49"/>
      <c r="BF352" s="49"/>
      <c r="BG352" s="49"/>
      <c r="BH352" s="49"/>
      <c r="BI352" s="49"/>
      <c r="BJ352" s="49"/>
      <c r="BK352" s="49"/>
      <c r="BL352" s="49"/>
      <c r="BM352" s="49"/>
      <c r="BN352" s="49"/>
      <c r="BO352" s="49"/>
      <c r="BP352" s="49"/>
      <c r="BQ352" s="49"/>
      <c r="BR352" s="49"/>
      <c r="BS352" s="49"/>
      <c r="BT352" s="49"/>
      <c r="BU352" s="49"/>
      <c r="BV352" s="49"/>
      <c r="BW352" s="49"/>
      <c r="BX352" s="49"/>
      <c r="BY352" s="49"/>
      <c r="BZ352" s="49"/>
      <c r="CA352" s="49"/>
      <c r="CB352" s="49"/>
      <c r="CC352" s="49"/>
      <c r="CD352" s="49"/>
      <c r="CE352" s="49"/>
      <c r="CF352" s="49"/>
      <c r="CG352" s="49"/>
      <c r="CH352" s="49"/>
      <c r="CI352" s="49"/>
      <c r="CJ352" s="49"/>
      <c r="CK352" s="49"/>
      <c r="CL352" s="49"/>
      <c r="CM352" s="49"/>
      <c r="CN352" s="49"/>
      <c r="CO352" s="49"/>
      <c r="CP352" s="49"/>
      <c r="CQ352" s="49"/>
      <c r="CR352" s="49"/>
      <c r="CS352" s="49"/>
      <c r="CT352" s="49"/>
      <c r="CU352" s="49"/>
      <c r="CV352" s="49"/>
      <c r="CW352" s="49"/>
      <c r="CX352" s="49"/>
      <c r="CY352" s="49"/>
      <c r="CZ352" s="49"/>
    </row>
    <row r="353" spans="2:113" ht="18" customHeight="1" x14ac:dyDescent="0.4">
      <c r="B353" s="27">
        <f t="shared" si="24"/>
        <v>342</v>
      </c>
      <c r="C353" s="28"/>
      <c r="D353" s="29"/>
      <c r="E353" s="29"/>
      <c r="F353" s="30"/>
      <c r="G353" s="31"/>
      <c r="H353" s="39"/>
      <c r="I353" s="32" t="str">
        <f t="shared" si="23"/>
        <v/>
      </c>
      <c r="J353" s="33"/>
      <c r="K353" s="33"/>
      <c r="L353" s="40"/>
      <c r="M353" s="40"/>
      <c r="N353" s="44"/>
      <c r="O353" s="36"/>
      <c r="P353" s="36"/>
      <c r="Q353" s="36"/>
      <c r="R353" s="36"/>
      <c r="S353" s="36"/>
      <c r="T353" s="38"/>
      <c r="U353" s="38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8"/>
      <c r="CZ353" s="38"/>
      <c r="DA353" s="13"/>
      <c r="DB353" s="13"/>
      <c r="DC353" s="13"/>
      <c r="DD353" s="13"/>
      <c r="DE353" s="13"/>
      <c r="DF353" s="13"/>
      <c r="DG353" s="13"/>
      <c r="DH353" s="13"/>
      <c r="DI353" s="13"/>
    </row>
    <row r="354" spans="2:113" ht="18" customHeight="1" x14ac:dyDescent="0.4">
      <c r="B354" s="27">
        <f t="shared" si="24"/>
        <v>343</v>
      </c>
      <c r="C354" s="28"/>
      <c r="D354" s="28"/>
      <c r="E354" s="29"/>
      <c r="F354" s="30"/>
      <c r="G354" s="31"/>
      <c r="H354" s="39"/>
      <c r="I354" s="32" t="str">
        <f t="shared" si="23"/>
        <v/>
      </c>
      <c r="J354" s="33"/>
      <c r="K354" s="33"/>
      <c r="L354" s="40"/>
      <c r="M354" s="40"/>
      <c r="N354" s="48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49"/>
      <c r="AG354" s="49"/>
      <c r="AH354" s="49"/>
      <c r="AI354" s="49"/>
      <c r="AJ354" s="49"/>
      <c r="AK354" s="49"/>
      <c r="AL354" s="49"/>
      <c r="AM354" s="49"/>
      <c r="AN354" s="49"/>
      <c r="AO354" s="49"/>
      <c r="AP354" s="49"/>
      <c r="AQ354" s="49"/>
      <c r="AR354" s="49"/>
      <c r="AS354" s="49"/>
      <c r="AT354" s="49"/>
      <c r="AU354" s="49"/>
      <c r="AV354" s="49"/>
      <c r="AW354" s="49"/>
      <c r="AX354" s="49"/>
      <c r="AY354" s="49"/>
      <c r="AZ354" s="49"/>
      <c r="BA354" s="49"/>
      <c r="BB354" s="49"/>
      <c r="BC354" s="49"/>
      <c r="BD354" s="49"/>
      <c r="BE354" s="49"/>
      <c r="BF354" s="49"/>
      <c r="BG354" s="49"/>
      <c r="BH354" s="49"/>
      <c r="BI354" s="49"/>
      <c r="BJ354" s="49"/>
      <c r="BK354" s="49"/>
      <c r="BL354" s="49"/>
      <c r="BM354" s="49"/>
      <c r="BN354" s="49"/>
      <c r="BO354" s="49"/>
      <c r="BP354" s="49"/>
      <c r="BQ354" s="49"/>
      <c r="BR354" s="49"/>
      <c r="BS354" s="49"/>
      <c r="BT354" s="49"/>
      <c r="BU354" s="49"/>
      <c r="BV354" s="49"/>
      <c r="BW354" s="49"/>
      <c r="BX354" s="49"/>
      <c r="BY354" s="49"/>
      <c r="BZ354" s="49"/>
      <c r="CA354" s="49"/>
      <c r="CB354" s="49"/>
      <c r="CC354" s="49"/>
      <c r="CD354" s="49"/>
      <c r="CE354" s="49"/>
      <c r="CF354" s="49"/>
      <c r="CG354" s="49"/>
      <c r="CH354" s="49"/>
      <c r="CI354" s="49"/>
      <c r="CJ354" s="49"/>
      <c r="CK354" s="49"/>
      <c r="CL354" s="49"/>
      <c r="CM354" s="49"/>
      <c r="CN354" s="49"/>
      <c r="CO354" s="49"/>
      <c r="CP354" s="49"/>
      <c r="CQ354" s="49"/>
      <c r="CR354" s="49"/>
      <c r="CS354" s="49"/>
      <c r="CT354" s="49"/>
      <c r="CU354" s="49"/>
      <c r="CV354" s="49"/>
      <c r="CW354" s="49"/>
      <c r="CX354" s="49"/>
      <c r="CY354" s="49"/>
      <c r="CZ354" s="49"/>
    </row>
    <row r="355" spans="2:113" ht="18" customHeight="1" x14ac:dyDescent="0.4">
      <c r="B355" s="27">
        <f t="shared" si="24"/>
        <v>344</v>
      </c>
      <c r="C355" s="28"/>
      <c r="D355" s="28"/>
      <c r="E355" s="29"/>
      <c r="F355" s="30"/>
      <c r="G355" s="31"/>
      <c r="H355" s="39"/>
      <c r="I355" s="32" t="str">
        <f t="shared" si="23"/>
        <v/>
      </c>
      <c r="J355" s="33"/>
      <c r="K355" s="33"/>
      <c r="L355" s="34"/>
      <c r="M355" s="34"/>
      <c r="N355" s="48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49"/>
      <c r="AG355" s="49"/>
      <c r="AH355" s="49"/>
      <c r="AI355" s="49"/>
      <c r="AJ355" s="49"/>
      <c r="AK355" s="49"/>
      <c r="AL355" s="49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/>
      <c r="AY355" s="49"/>
      <c r="AZ355" s="49"/>
      <c r="BA355" s="49"/>
      <c r="BB355" s="49"/>
      <c r="BC355" s="49"/>
      <c r="BD355" s="49"/>
      <c r="BE355" s="49"/>
      <c r="BF355" s="49"/>
      <c r="BG355" s="49"/>
      <c r="BH355" s="49"/>
      <c r="BI355" s="49"/>
      <c r="BJ355" s="49"/>
      <c r="BK355" s="49"/>
      <c r="BL355" s="49"/>
      <c r="BM355" s="49"/>
      <c r="BN355" s="49"/>
      <c r="BO355" s="49"/>
      <c r="BP355" s="49"/>
      <c r="BQ355" s="49"/>
      <c r="BR355" s="49"/>
      <c r="BS355" s="49"/>
      <c r="BT355" s="49"/>
      <c r="BU355" s="49"/>
      <c r="BV355" s="49"/>
      <c r="BW355" s="49"/>
      <c r="BX355" s="49"/>
      <c r="BY355" s="49"/>
      <c r="BZ355" s="49"/>
      <c r="CA355" s="49"/>
      <c r="CB355" s="49"/>
      <c r="CC355" s="49"/>
      <c r="CD355" s="49"/>
      <c r="CE355" s="49"/>
      <c r="CF355" s="49"/>
      <c r="CG355" s="49"/>
      <c r="CH355" s="49"/>
      <c r="CI355" s="49"/>
      <c r="CJ355" s="49"/>
      <c r="CK355" s="49"/>
      <c r="CL355" s="49"/>
      <c r="CM355" s="49"/>
      <c r="CN355" s="49"/>
      <c r="CO355" s="49"/>
      <c r="CP355" s="49"/>
      <c r="CQ355" s="49"/>
      <c r="CR355" s="49"/>
      <c r="CS355" s="49"/>
      <c r="CT355" s="49"/>
      <c r="CU355" s="49"/>
      <c r="CV355" s="49"/>
      <c r="CW355" s="49"/>
      <c r="CX355" s="49"/>
      <c r="CY355" s="49"/>
      <c r="CZ355" s="49"/>
    </row>
    <row r="356" spans="2:113" ht="18" customHeight="1" x14ac:dyDescent="0.4">
      <c r="B356" s="27">
        <f t="shared" si="24"/>
        <v>345</v>
      </c>
      <c r="C356" s="28"/>
      <c r="D356" s="28"/>
      <c r="E356" s="29"/>
      <c r="F356" s="30"/>
      <c r="G356" s="31"/>
      <c r="H356" s="45"/>
      <c r="I356" s="32" t="str">
        <f t="shared" si="23"/>
        <v/>
      </c>
      <c r="J356" s="33"/>
      <c r="K356" s="33"/>
      <c r="L356" s="46"/>
      <c r="M356" s="46"/>
      <c r="N356" s="48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49"/>
      <c r="AG356" s="49"/>
      <c r="AH356" s="49"/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49"/>
      <c r="AT356" s="49"/>
      <c r="AU356" s="49"/>
      <c r="AV356" s="49"/>
      <c r="AW356" s="49"/>
      <c r="AX356" s="49"/>
      <c r="AY356" s="49"/>
      <c r="AZ356" s="49"/>
      <c r="BA356" s="49"/>
      <c r="BB356" s="49"/>
      <c r="BC356" s="49"/>
      <c r="BD356" s="49"/>
      <c r="BE356" s="49"/>
      <c r="BF356" s="49"/>
      <c r="BG356" s="49"/>
      <c r="BH356" s="49"/>
      <c r="BI356" s="49"/>
      <c r="BJ356" s="49"/>
      <c r="BK356" s="49"/>
      <c r="BL356" s="49"/>
      <c r="BM356" s="49"/>
      <c r="BN356" s="49"/>
      <c r="BO356" s="49"/>
      <c r="BP356" s="49"/>
      <c r="BQ356" s="49"/>
      <c r="BR356" s="49"/>
      <c r="BS356" s="49"/>
      <c r="BT356" s="49"/>
      <c r="BU356" s="49"/>
      <c r="BV356" s="49"/>
      <c r="BW356" s="49"/>
      <c r="BX356" s="49"/>
      <c r="BY356" s="49"/>
      <c r="BZ356" s="49"/>
      <c r="CA356" s="49"/>
      <c r="CB356" s="49"/>
      <c r="CC356" s="49"/>
      <c r="CD356" s="49"/>
      <c r="CE356" s="49"/>
      <c r="CF356" s="49"/>
      <c r="CG356" s="49"/>
      <c r="CH356" s="49"/>
      <c r="CI356" s="49"/>
      <c r="CJ356" s="49"/>
      <c r="CK356" s="49"/>
      <c r="CL356" s="49"/>
      <c r="CM356" s="49"/>
      <c r="CN356" s="49"/>
      <c r="CO356" s="49"/>
      <c r="CP356" s="49"/>
      <c r="CQ356" s="49"/>
      <c r="CR356" s="49"/>
      <c r="CS356" s="49"/>
      <c r="CT356" s="49"/>
      <c r="CU356" s="49"/>
      <c r="CV356" s="49"/>
      <c r="CW356" s="49"/>
      <c r="CX356" s="49"/>
      <c r="CY356" s="49"/>
      <c r="CZ356" s="49"/>
    </row>
    <row r="357" spans="2:113" ht="18" customHeight="1" x14ac:dyDescent="0.4">
      <c r="B357" s="27">
        <f t="shared" si="24"/>
        <v>346</v>
      </c>
      <c r="C357" s="28"/>
      <c r="D357" s="28"/>
      <c r="E357" s="29"/>
      <c r="F357" s="30"/>
      <c r="G357" s="31"/>
      <c r="H357" s="45"/>
      <c r="I357" s="32" t="str">
        <f t="shared" si="23"/>
        <v/>
      </c>
      <c r="J357" s="33"/>
      <c r="K357" s="33"/>
      <c r="L357" s="46"/>
      <c r="M357" s="46"/>
      <c r="N357" s="36"/>
      <c r="O357" s="36"/>
      <c r="P357" s="36"/>
      <c r="Q357" s="36"/>
      <c r="R357" s="38"/>
      <c r="S357" s="38"/>
      <c r="T357" s="38"/>
      <c r="U357" s="38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8"/>
      <c r="CZ357" s="38"/>
      <c r="DA357" s="13"/>
      <c r="DB357" s="13"/>
      <c r="DC357" s="13"/>
      <c r="DD357" s="13"/>
      <c r="DE357" s="13"/>
      <c r="DF357" s="13"/>
      <c r="DG357" s="13"/>
      <c r="DH357" s="13"/>
      <c r="DI357" s="13"/>
    </row>
    <row r="358" spans="2:113" ht="18" customHeight="1" x14ac:dyDescent="0.4">
      <c r="B358" s="27">
        <f t="shared" si="24"/>
        <v>347</v>
      </c>
      <c r="C358" s="28"/>
      <c r="D358" s="29"/>
      <c r="E358" s="29"/>
      <c r="F358" s="30"/>
      <c r="G358" s="31"/>
      <c r="H358" s="45"/>
      <c r="I358" s="32" t="str">
        <f t="shared" si="23"/>
        <v/>
      </c>
      <c r="J358" s="33"/>
      <c r="K358" s="33"/>
      <c r="L358" s="46"/>
      <c r="M358" s="46"/>
      <c r="N358" s="36"/>
      <c r="O358" s="36"/>
      <c r="P358" s="36"/>
      <c r="Q358" s="36"/>
      <c r="R358" s="38"/>
      <c r="S358" s="38"/>
      <c r="T358" s="38"/>
      <c r="U358" s="38"/>
      <c r="V358" s="55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0"/>
      <c r="BG358" s="50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8"/>
      <c r="CZ358" s="38"/>
      <c r="DA358" s="13"/>
      <c r="DB358" s="13"/>
      <c r="DC358" s="13"/>
      <c r="DD358" s="13"/>
      <c r="DE358" s="13"/>
      <c r="DF358" s="13"/>
      <c r="DG358" s="13"/>
      <c r="DH358" s="13"/>
      <c r="DI358" s="13"/>
    </row>
    <row r="359" spans="2:113" ht="18" customHeight="1" x14ac:dyDescent="0.4">
      <c r="B359" s="27">
        <f t="shared" si="24"/>
        <v>348</v>
      </c>
      <c r="C359" s="28"/>
      <c r="D359" s="29"/>
      <c r="E359" s="29"/>
      <c r="F359" s="30"/>
      <c r="G359" s="31"/>
      <c r="H359" s="45"/>
      <c r="I359" s="32" t="str">
        <f t="shared" si="23"/>
        <v/>
      </c>
      <c r="J359" s="33"/>
      <c r="K359" s="33"/>
      <c r="L359" s="46"/>
      <c r="M359" s="46"/>
      <c r="N359" s="36"/>
      <c r="O359" s="36"/>
      <c r="P359" s="36"/>
      <c r="Q359" s="36"/>
      <c r="R359" s="38"/>
      <c r="S359" s="38"/>
      <c r="T359" s="52"/>
      <c r="U359" s="52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8"/>
      <c r="CZ359" s="38"/>
      <c r="DA359" s="13"/>
      <c r="DB359" s="13"/>
      <c r="DC359" s="13"/>
      <c r="DD359" s="13"/>
      <c r="DE359" s="13"/>
      <c r="DF359" s="13"/>
      <c r="DG359" s="13"/>
      <c r="DH359" s="13"/>
      <c r="DI359" s="13"/>
    </row>
    <row r="360" spans="2:113" ht="18" customHeight="1" x14ac:dyDescent="0.4">
      <c r="B360" s="27">
        <f t="shared" si="24"/>
        <v>349</v>
      </c>
      <c r="C360" s="28"/>
      <c r="D360" s="29"/>
      <c r="E360" s="29"/>
      <c r="F360" s="30"/>
      <c r="G360" s="31"/>
      <c r="H360" s="43"/>
      <c r="I360" s="32" t="str">
        <f t="shared" si="23"/>
        <v/>
      </c>
      <c r="J360" s="33"/>
      <c r="K360" s="33"/>
      <c r="L360" s="57"/>
      <c r="M360" s="57"/>
      <c r="N360" s="47"/>
      <c r="O360" s="36"/>
      <c r="P360" s="36"/>
      <c r="Q360" s="36"/>
      <c r="R360" s="38"/>
      <c r="S360" s="38"/>
      <c r="T360" s="38"/>
      <c r="U360" s="38"/>
      <c r="V360" s="38"/>
      <c r="W360" s="38"/>
      <c r="X360" s="38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8"/>
      <c r="CZ360" s="38"/>
      <c r="DA360" s="13"/>
      <c r="DB360" s="13"/>
      <c r="DC360" s="13"/>
      <c r="DD360" s="13"/>
      <c r="DE360" s="13"/>
      <c r="DF360" s="13"/>
      <c r="DG360" s="13"/>
      <c r="DH360" s="13"/>
      <c r="DI360" s="13"/>
    </row>
    <row r="361" spans="2:113" ht="18" customHeight="1" x14ac:dyDescent="0.4">
      <c r="B361" s="27">
        <f t="shared" si="24"/>
        <v>350</v>
      </c>
      <c r="C361" s="28"/>
      <c r="D361" s="29"/>
      <c r="E361" s="29"/>
      <c r="F361" s="30"/>
      <c r="G361" s="31"/>
      <c r="H361" s="45"/>
      <c r="I361" s="32" t="str">
        <f t="shared" si="23"/>
        <v/>
      </c>
      <c r="J361" s="33"/>
      <c r="K361" s="33"/>
      <c r="L361" s="46"/>
      <c r="M361" s="46"/>
      <c r="N361" s="48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49"/>
      <c r="AG361" s="49"/>
      <c r="AH361" s="49"/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49"/>
      <c r="AT361" s="49"/>
      <c r="AU361" s="49"/>
      <c r="AV361" s="49"/>
      <c r="AW361" s="49"/>
      <c r="AX361" s="49"/>
      <c r="AY361" s="49"/>
      <c r="AZ361" s="49"/>
      <c r="BA361" s="49"/>
      <c r="BB361" s="49"/>
      <c r="BC361" s="49"/>
      <c r="BD361" s="49"/>
      <c r="BE361" s="49"/>
      <c r="BF361" s="49"/>
      <c r="BG361" s="49"/>
      <c r="BH361" s="49"/>
      <c r="BI361" s="49"/>
      <c r="BJ361" s="49"/>
      <c r="BK361" s="49"/>
      <c r="BL361" s="49"/>
      <c r="BM361" s="49"/>
      <c r="BN361" s="49"/>
      <c r="BO361" s="49"/>
      <c r="BP361" s="49"/>
      <c r="BQ361" s="49"/>
      <c r="BR361" s="49"/>
      <c r="BS361" s="49"/>
      <c r="BT361" s="49"/>
      <c r="BU361" s="49"/>
      <c r="BV361" s="49"/>
      <c r="BW361" s="49"/>
      <c r="BX361" s="49"/>
      <c r="BY361" s="49"/>
      <c r="BZ361" s="49"/>
      <c r="CA361" s="49"/>
      <c r="CB361" s="49"/>
      <c r="CC361" s="49"/>
      <c r="CD361" s="49"/>
      <c r="CE361" s="49"/>
      <c r="CF361" s="49"/>
      <c r="CG361" s="49"/>
      <c r="CH361" s="49"/>
      <c r="CI361" s="49"/>
      <c r="CJ361" s="49"/>
      <c r="CK361" s="49"/>
      <c r="CL361" s="49"/>
      <c r="CM361" s="49"/>
      <c r="CN361" s="49"/>
      <c r="CO361" s="49"/>
      <c r="CP361" s="49"/>
      <c r="CQ361" s="49"/>
      <c r="CR361" s="49"/>
      <c r="CS361" s="49"/>
      <c r="CT361" s="49"/>
      <c r="CU361" s="49"/>
      <c r="CV361" s="49"/>
      <c r="CW361" s="49"/>
      <c r="CX361" s="49"/>
      <c r="CY361" s="49"/>
      <c r="CZ361" s="49"/>
    </row>
    <row r="362" spans="2:113" ht="18" customHeight="1" x14ac:dyDescent="0.4">
      <c r="B362" s="27">
        <f>ROW()-11</f>
        <v>351</v>
      </c>
      <c r="C362" s="28"/>
      <c r="D362" s="28"/>
      <c r="E362" s="29"/>
      <c r="F362" s="30"/>
      <c r="G362" s="31"/>
      <c r="H362" s="31"/>
      <c r="I362" s="32" t="str">
        <f t="shared" si="23"/>
        <v/>
      </c>
      <c r="J362" s="33"/>
      <c r="K362" s="33"/>
      <c r="L362" s="34"/>
      <c r="M362" s="34"/>
      <c r="N362" s="35"/>
      <c r="O362" s="35"/>
      <c r="P362" s="35"/>
      <c r="Q362" s="35"/>
      <c r="R362" s="36"/>
      <c r="S362" s="36"/>
      <c r="T362" s="36"/>
      <c r="U362" s="36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8"/>
      <c r="CZ362" s="38"/>
      <c r="DA362" s="13"/>
      <c r="DB362" s="13"/>
      <c r="DC362" s="13"/>
      <c r="DD362" s="13"/>
      <c r="DE362" s="13"/>
      <c r="DF362" s="13"/>
      <c r="DG362" s="13"/>
      <c r="DH362" s="13"/>
      <c r="DI362" s="13"/>
    </row>
    <row r="363" spans="2:113" ht="18" customHeight="1" x14ac:dyDescent="0.4">
      <c r="B363" s="27">
        <f t="shared" ref="B363:B411" si="25">ROW()-11</f>
        <v>352</v>
      </c>
      <c r="C363" s="28"/>
      <c r="D363" s="28"/>
      <c r="E363" s="29"/>
      <c r="F363" s="30"/>
      <c r="G363" s="31"/>
      <c r="H363" s="39"/>
      <c r="I363" s="32" t="str">
        <f t="shared" si="23"/>
        <v/>
      </c>
      <c r="J363" s="33"/>
      <c r="K363" s="33"/>
      <c r="L363" s="40"/>
      <c r="M363" s="40"/>
      <c r="N363" s="36"/>
      <c r="O363" s="41"/>
      <c r="P363" s="41"/>
      <c r="Q363" s="41"/>
      <c r="R363" s="38"/>
      <c r="S363" s="38"/>
      <c r="T363" s="38"/>
      <c r="U363" s="38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8"/>
      <c r="CZ363" s="38"/>
      <c r="DA363" s="13"/>
      <c r="DB363" s="13"/>
      <c r="DC363" s="13"/>
      <c r="DD363" s="13"/>
      <c r="DE363" s="13"/>
      <c r="DF363" s="13"/>
      <c r="DG363" s="13"/>
      <c r="DH363" s="13"/>
      <c r="DI363" s="13"/>
    </row>
    <row r="364" spans="2:113" ht="18" customHeight="1" x14ac:dyDescent="0.4">
      <c r="B364" s="27">
        <f t="shared" si="25"/>
        <v>353</v>
      </c>
      <c r="C364" s="28"/>
      <c r="D364" s="28"/>
      <c r="E364" s="29"/>
      <c r="F364" s="30"/>
      <c r="G364" s="31"/>
      <c r="H364" s="43"/>
      <c r="I364" s="32" t="str">
        <f t="shared" si="23"/>
        <v/>
      </c>
      <c r="J364" s="33"/>
      <c r="K364" s="33"/>
      <c r="L364" s="40"/>
      <c r="M364" s="40"/>
      <c r="N364" s="44"/>
      <c r="O364" s="36"/>
      <c r="P364" s="36"/>
      <c r="Q364" s="36"/>
      <c r="R364" s="38"/>
      <c r="S364" s="38"/>
      <c r="T364" s="38"/>
      <c r="U364" s="38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8"/>
      <c r="CZ364" s="38"/>
      <c r="DA364" s="13"/>
      <c r="DB364" s="13"/>
      <c r="DC364" s="13"/>
      <c r="DD364" s="13"/>
      <c r="DE364" s="13"/>
      <c r="DF364" s="13"/>
      <c r="DG364" s="13"/>
      <c r="DH364" s="13"/>
      <c r="DI364" s="13"/>
    </row>
    <row r="365" spans="2:113" ht="18" customHeight="1" x14ac:dyDescent="0.4">
      <c r="B365" s="27">
        <f t="shared" si="25"/>
        <v>354</v>
      </c>
      <c r="C365" s="28"/>
      <c r="D365" s="29"/>
      <c r="E365" s="29"/>
      <c r="F365" s="30"/>
      <c r="G365" s="31"/>
      <c r="H365" s="45"/>
      <c r="I365" s="32" t="str">
        <f t="shared" si="23"/>
        <v/>
      </c>
      <c r="J365" s="33"/>
      <c r="K365" s="33"/>
      <c r="L365" s="46"/>
      <c r="M365" s="46"/>
      <c r="N365" s="44"/>
      <c r="O365" s="36"/>
      <c r="P365" s="36"/>
      <c r="Q365" s="36"/>
      <c r="R365" s="38"/>
      <c r="S365" s="38"/>
      <c r="T365" s="38"/>
      <c r="U365" s="38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8"/>
      <c r="CZ365" s="38"/>
      <c r="DA365" s="13"/>
      <c r="DB365" s="13"/>
      <c r="DC365" s="13"/>
      <c r="DD365" s="13"/>
      <c r="DE365" s="13"/>
      <c r="DF365" s="13"/>
      <c r="DG365" s="13"/>
      <c r="DH365" s="13"/>
      <c r="DI365" s="13"/>
    </row>
    <row r="366" spans="2:113" ht="18" customHeight="1" x14ac:dyDescent="0.4">
      <c r="B366" s="27">
        <f t="shared" si="25"/>
        <v>355</v>
      </c>
      <c r="C366" s="28"/>
      <c r="D366" s="28"/>
      <c r="E366" s="29"/>
      <c r="F366" s="30"/>
      <c r="G366" s="31"/>
      <c r="H366" s="39"/>
      <c r="I366" s="32" t="str">
        <f t="shared" ref="I366:I429" si="26">IF(G366&gt;0,H366/G366,"")</f>
        <v/>
      </c>
      <c r="J366" s="33"/>
      <c r="K366" s="33"/>
      <c r="L366" s="34"/>
      <c r="M366" s="34"/>
      <c r="N366" s="47"/>
      <c r="O366" s="36"/>
      <c r="P366" s="36"/>
      <c r="Q366" s="36"/>
      <c r="R366" s="38"/>
      <c r="S366" s="38"/>
      <c r="T366" s="38"/>
      <c r="U366" s="38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8"/>
      <c r="CZ366" s="38"/>
      <c r="DA366" s="13"/>
      <c r="DB366" s="13"/>
      <c r="DC366" s="13"/>
      <c r="DD366" s="13"/>
      <c r="DE366" s="13"/>
      <c r="DF366" s="13"/>
      <c r="DG366" s="13"/>
      <c r="DH366" s="13"/>
      <c r="DI366" s="13"/>
    </row>
    <row r="367" spans="2:113" ht="18" customHeight="1" x14ac:dyDescent="0.4">
      <c r="B367" s="27">
        <f t="shared" si="25"/>
        <v>356</v>
      </c>
      <c r="C367" s="28"/>
      <c r="D367" s="28"/>
      <c r="E367" s="29"/>
      <c r="F367" s="30"/>
      <c r="G367" s="31"/>
      <c r="H367" s="43"/>
      <c r="I367" s="32" t="str">
        <f t="shared" si="26"/>
        <v/>
      </c>
      <c r="J367" s="33"/>
      <c r="K367" s="33"/>
      <c r="L367" s="40"/>
      <c r="M367" s="40"/>
      <c r="N367" s="48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49"/>
      <c r="AG367" s="49"/>
      <c r="AH367" s="49"/>
      <c r="AI367" s="49"/>
      <c r="AJ367" s="49"/>
      <c r="AK367" s="49"/>
      <c r="AL367" s="49"/>
      <c r="AM367" s="49"/>
      <c r="AN367" s="49"/>
      <c r="AO367" s="49"/>
      <c r="AP367" s="49"/>
      <c r="AQ367" s="49"/>
      <c r="AR367" s="49"/>
      <c r="AS367" s="49"/>
      <c r="AT367" s="49"/>
      <c r="AU367" s="49"/>
      <c r="AV367" s="49"/>
      <c r="AW367" s="49"/>
      <c r="AX367" s="49"/>
      <c r="AY367" s="49"/>
      <c r="AZ367" s="49"/>
      <c r="BA367" s="49"/>
      <c r="BB367" s="49"/>
      <c r="BC367" s="49"/>
      <c r="BD367" s="49"/>
      <c r="BE367" s="49"/>
      <c r="BF367" s="49"/>
      <c r="BG367" s="49"/>
      <c r="BH367" s="49"/>
      <c r="BI367" s="49"/>
      <c r="BJ367" s="49"/>
      <c r="BK367" s="49"/>
      <c r="BL367" s="49"/>
      <c r="BM367" s="49"/>
      <c r="BN367" s="49"/>
      <c r="BO367" s="49"/>
      <c r="BP367" s="49"/>
      <c r="BQ367" s="49"/>
      <c r="BR367" s="49"/>
      <c r="BS367" s="49"/>
      <c r="BT367" s="49"/>
      <c r="BU367" s="49"/>
      <c r="BV367" s="49"/>
      <c r="BW367" s="49"/>
      <c r="BX367" s="49"/>
      <c r="BY367" s="49"/>
      <c r="BZ367" s="49"/>
      <c r="CA367" s="49"/>
      <c r="CB367" s="49"/>
      <c r="CC367" s="49"/>
      <c r="CD367" s="49"/>
      <c r="CE367" s="49"/>
      <c r="CF367" s="49"/>
      <c r="CG367" s="49"/>
      <c r="CH367" s="49"/>
      <c r="CI367" s="49"/>
      <c r="CJ367" s="49"/>
      <c r="CK367" s="49"/>
      <c r="CL367" s="49"/>
      <c r="CM367" s="49"/>
      <c r="CN367" s="49"/>
      <c r="CO367" s="49"/>
      <c r="CP367" s="49"/>
      <c r="CQ367" s="49"/>
      <c r="CR367" s="49"/>
      <c r="CS367" s="49"/>
      <c r="CT367" s="49"/>
      <c r="CU367" s="49"/>
      <c r="CV367" s="49"/>
      <c r="CW367" s="49"/>
      <c r="CX367" s="49"/>
      <c r="CY367" s="49"/>
      <c r="CZ367" s="49"/>
    </row>
    <row r="368" spans="2:113" ht="18" customHeight="1" x14ac:dyDescent="0.4">
      <c r="B368" s="27">
        <f t="shared" si="25"/>
        <v>357</v>
      </c>
      <c r="C368" s="28"/>
      <c r="D368" s="29"/>
      <c r="E368" s="29"/>
      <c r="F368" s="30"/>
      <c r="G368" s="31"/>
      <c r="H368" s="43"/>
      <c r="I368" s="32" t="str">
        <f t="shared" si="26"/>
        <v/>
      </c>
      <c r="J368" s="33"/>
      <c r="K368" s="33"/>
      <c r="L368" s="40"/>
      <c r="M368" s="40"/>
      <c r="N368" s="48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49"/>
      <c r="AG368" s="49"/>
      <c r="AH368" s="49"/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49"/>
      <c r="AT368" s="49"/>
      <c r="AU368" s="49"/>
      <c r="AV368" s="49"/>
      <c r="AW368" s="49"/>
      <c r="AX368" s="49"/>
      <c r="AY368" s="49"/>
      <c r="AZ368" s="49"/>
      <c r="BA368" s="49"/>
      <c r="BB368" s="49"/>
      <c r="BC368" s="49"/>
      <c r="BD368" s="49"/>
      <c r="BE368" s="49"/>
      <c r="BF368" s="49"/>
      <c r="BG368" s="49"/>
      <c r="BH368" s="49"/>
      <c r="BI368" s="49"/>
      <c r="BJ368" s="49"/>
      <c r="BK368" s="49"/>
      <c r="BL368" s="49"/>
      <c r="BM368" s="49"/>
      <c r="BN368" s="49"/>
      <c r="BO368" s="49"/>
      <c r="BP368" s="49"/>
      <c r="BQ368" s="49"/>
      <c r="BR368" s="49"/>
      <c r="BS368" s="49"/>
      <c r="BT368" s="49"/>
      <c r="BU368" s="49"/>
      <c r="BV368" s="49"/>
      <c r="BW368" s="49"/>
      <c r="BX368" s="49"/>
      <c r="BY368" s="49"/>
      <c r="BZ368" s="49"/>
      <c r="CA368" s="49"/>
      <c r="CB368" s="49"/>
      <c r="CC368" s="49"/>
      <c r="CD368" s="49"/>
      <c r="CE368" s="49"/>
      <c r="CF368" s="49"/>
      <c r="CG368" s="49"/>
      <c r="CH368" s="49"/>
      <c r="CI368" s="49"/>
      <c r="CJ368" s="49"/>
      <c r="CK368" s="49"/>
      <c r="CL368" s="49"/>
      <c r="CM368" s="49"/>
      <c r="CN368" s="49"/>
      <c r="CO368" s="49"/>
      <c r="CP368" s="49"/>
      <c r="CQ368" s="49"/>
      <c r="CR368" s="49"/>
      <c r="CS368" s="49"/>
      <c r="CT368" s="49"/>
      <c r="CU368" s="49"/>
      <c r="CV368" s="49"/>
      <c r="CW368" s="49"/>
      <c r="CX368" s="49"/>
      <c r="CY368" s="49"/>
      <c r="CZ368" s="49"/>
    </row>
    <row r="369" spans="2:113" ht="18" customHeight="1" x14ac:dyDescent="0.4">
      <c r="B369" s="27">
        <f t="shared" si="25"/>
        <v>358</v>
      </c>
      <c r="C369" s="28"/>
      <c r="D369" s="29"/>
      <c r="E369" s="29"/>
      <c r="F369" s="30"/>
      <c r="G369" s="31"/>
      <c r="H369" s="39"/>
      <c r="I369" s="32" t="str">
        <f t="shared" si="26"/>
        <v/>
      </c>
      <c r="J369" s="33"/>
      <c r="K369" s="33"/>
      <c r="L369" s="40"/>
      <c r="M369" s="40"/>
      <c r="N369" s="36"/>
      <c r="O369" s="36"/>
      <c r="P369" s="36"/>
      <c r="Q369" s="36"/>
      <c r="R369" s="38"/>
      <c r="S369" s="38"/>
      <c r="T369" s="38"/>
      <c r="U369" s="38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8"/>
      <c r="CZ369" s="38"/>
      <c r="DA369" s="13"/>
      <c r="DB369" s="13"/>
      <c r="DC369" s="13"/>
      <c r="DD369" s="13"/>
      <c r="DE369" s="13"/>
      <c r="DF369" s="13"/>
      <c r="DG369" s="13"/>
      <c r="DH369" s="13"/>
      <c r="DI369" s="13"/>
    </row>
    <row r="370" spans="2:113" ht="18" customHeight="1" x14ac:dyDescent="0.4">
      <c r="B370" s="27">
        <f t="shared" si="25"/>
        <v>359</v>
      </c>
      <c r="C370" s="28"/>
      <c r="D370" s="29"/>
      <c r="E370" s="29"/>
      <c r="F370" s="30"/>
      <c r="G370" s="31"/>
      <c r="H370" s="43"/>
      <c r="I370" s="32" t="str">
        <f t="shared" si="26"/>
        <v/>
      </c>
      <c r="J370" s="33"/>
      <c r="K370" s="33"/>
      <c r="L370" s="40"/>
      <c r="M370" s="40"/>
      <c r="N370" s="44"/>
      <c r="O370" s="36"/>
      <c r="P370" s="36"/>
      <c r="Q370" s="36"/>
      <c r="R370" s="36"/>
      <c r="S370" s="36"/>
      <c r="T370" s="38"/>
      <c r="U370" s="38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8"/>
      <c r="CZ370" s="38"/>
      <c r="DA370" s="13"/>
      <c r="DB370" s="13"/>
      <c r="DC370" s="13"/>
      <c r="DD370" s="13"/>
      <c r="DE370" s="13"/>
      <c r="DF370" s="13"/>
      <c r="DG370" s="13"/>
      <c r="DH370" s="13"/>
      <c r="DI370" s="13"/>
    </row>
    <row r="371" spans="2:113" ht="18" customHeight="1" x14ac:dyDescent="0.4">
      <c r="B371" s="27">
        <f t="shared" si="25"/>
        <v>360</v>
      </c>
      <c r="C371" s="28"/>
      <c r="D371" s="28"/>
      <c r="E371" s="29"/>
      <c r="F371" s="30"/>
      <c r="G371" s="31"/>
      <c r="H371" s="39"/>
      <c r="I371" s="32" t="str">
        <f t="shared" si="26"/>
        <v/>
      </c>
      <c r="J371" s="33"/>
      <c r="K371" s="33"/>
      <c r="L371" s="40"/>
      <c r="M371" s="40"/>
      <c r="N371" s="41"/>
      <c r="O371" s="36"/>
      <c r="P371" s="36"/>
      <c r="Q371" s="41"/>
      <c r="R371" s="38"/>
      <c r="S371" s="38"/>
      <c r="T371" s="38"/>
      <c r="U371" s="38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8"/>
      <c r="CZ371" s="38"/>
      <c r="DA371" s="13"/>
      <c r="DB371" s="13"/>
      <c r="DC371" s="13"/>
      <c r="DD371" s="13"/>
      <c r="DE371" s="13"/>
      <c r="DF371" s="13"/>
      <c r="DG371" s="13"/>
      <c r="DH371" s="13"/>
      <c r="DI371" s="13"/>
    </row>
    <row r="372" spans="2:113" ht="18" customHeight="1" x14ac:dyDescent="0.4">
      <c r="B372" s="27">
        <f t="shared" si="25"/>
        <v>361</v>
      </c>
      <c r="C372" s="28"/>
      <c r="D372" s="28"/>
      <c r="E372" s="29"/>
      <c r="F372" s="30"/>
      <c r="G372" s="31"/>
      <c r="H372" s="39"/>
      <c r="I372" s="32" t="str">
        <f t="shared" si="26"/>
        <v/>
      </c>
      <c r="J372" s="33"/>
      <c r="K372" s="33"/>
      <c r="L372" s="40"/>
      <c r="M372" s="40"/>
      <c r="N372" s="36"/>
      <c r="O372" s="36"/>
      <c r="P372" s="36"/>
      <c r="Q372" s="36"/>
      <c r="R372" s="38"/>
      <c r="S372" s="38"/>
      <c r="T372" s="38"/>
      <c r="U372" s="38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6"/>
      <c r="BG372" s="36"/>
      <c r="BH372" s="36"/>
      <c r="BI372" s="36"/>
      <c r="BJ372" s="50"/>
      <c r="BK372" s="50"/>
      <c r="BL372" s="50"/>
      <c r="BM372" s="50"/>
      <c r="BN372" s="50"/>
      <c r="BO372" s="36"/>
      <c r="BP372" s="36"/>
      <c r="BQ372" s="39"/>
      <c r="BR372" s="39"/>
      <c r="BS372" s="39"/>
      <c r="BT372" s="39"/>
      <c r="BU372" s="39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8"/>
      <c r="CZ372" s="38"/>
      <c r="DA372" s="13"/>
      <c r="DB372" s="13"/>
      <c r="DC372" s="13"/>
      <c r="DD372" s="13"/>
      <c r="DE372" s="13"/>
      <c r="DF372" s="13"/>
      <c r="DG372" s="13"/>
      <c r="DH372" s="13"/>
      <c r="DI372" s="13"/>
    </row>
    <row r="373" spans="2:113" ht="18" customHeight="1" x14ac:dyDescent="0.4">
      <c r="B373" s="27">
        <f t="shared" si="25"/>
        <v>362</v>
      </c>
      <c r="C373" s="28"/>
      <c r="D373" s="28"/>
      <c r="E373" s="29"/>
      <c r="F373" s="30"/>
      <c r="G373" s="31"/>
      <c r="H373" s="43"/>
      <c r="I373" s="32" t="str">
        <f t="shared" si="26"/>
        <v/>
      </c>
      <c r="J373" s="33"/>
      <c r="K373" s="33"/>
      <c r="L373" s="40"/>
      <c r="M373" s="40"/>
      <c r="N373" s="47"/>
      <c r="O373" s="36"/>
      <c r="P373" s="36"/>
      <c r="Q373" s="36"/>
      <c r="R373" s="38"/>
      <c r="S373" s="38"/>
      <c r="T373" s="38"/>
      <c r="U373" s="38"/>
      <c r="V373" s="42"/>
      <c r="W373" s="42"/>
      <c r="X373" s="42"/>
      <c r="Y373" s="42"/>
      <c r="Z373" s="42"/>
      <c r="AA373" s="37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8"/>
      <c r="CZ373" s="38"/>
      <c r="DA373" s="13"/>
      <c r="DB373" s="13"/>
      <c r="DC373" s="13"/>
      <c r="DD373" s="13"/>
      <c r="DE373" s="13"/>
      <c r="DF373" s="13"/>
      <c r="DG373" s="13"/>
      <c r="DH373" s="13"/>
      <c r="DI373" s="13"/>
    </row>
    <row r="374" spans="2:113" ht="18" customHeight="1" x14ac:dyDescent="0.4">
      <c r="B374" s="27">
        <f t="shared" si="25"/>
        <v>363</v>
      </c>
      <c r="C374" s="28"/>
      <c r="D374" s="29"/>
      <c r="E374" s="29"/>
      <c r="F374" s="30"/>
      <c r="G374" s="31"/>
      <c r="H374" s="39"/>
      <c r="I374" s="32" t="str">
        <f t="shared" si="26"/>
        <v/>
      </c>
      <c r="J374" s="33"/>
      <c r="K374" s="33"/>
      <c r="L374" s="40"/>
      <c r="M374" s="40"/>
      <c r="N374" s="44"/>
      <c r="O374" s="36"/>
      <c r="P374" s="36"/>
      <c r="Q374" s="36"/>
      <c r="R374" s="36"/>
      <c r="S374" s="36"/>
      <c r="T374" s="38"/>
      <c r="U374" s="38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8"/>
      <c r="CZ374" s="38"/>
      <c r="DA374" s="13"/>
      <c r="DB374" s="13"/>
      <c r="DC374" s="13"/>
      <c r="DD374" s="13"/>
      <c r="DE374" s="13"/>
      <c r="DF374" s="13"/>
      <c r="DG374" s="13"/>
      <c r="DH374" s="13"/>
      <c r="DI374" s="13"/>
    </row>
    <row r="375" spans="2:113" ht="18" customHeight="1" x14ac:dyDescent="0.4">
      <c r="B375" s="27">
        <f t="shared" si="25"/>
        <v>364</v>
      </c>
      <c r="C375" s="28"/>
      <c r="D375" s="51"/>
      <c r="E375" s="29"/>
      <c r="F375" s="30"/>
      <c r="G375" s="31"/>
      <c r="H375" s="39"/>
      <c r="I375" s="32" t="str">
        <f t="shared" si="26"/>
        <v/>
      </c>
      <c r="J375" s="33"/>
      <c r="K375" s="33"/>
      <c r="L375" s="34"/>
      <c r="M375" s="34"/>
      <c r="N375" s="48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49"/>
      <c r="AG375" s="49"/>
      <c r="AH375" s="49"/>
      <c r="AI375" s="49"/>
      <c r="AJ375" s="49"/>
      <c r="AK375" s="49"/>
      <c r="AL375" s="49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/>
      <c r="AY375" s="49"/>
      <c r="AZ375" s="49"/>
      <c r="BA375" s="49"/>
      <c r="BB375" s="49"/>
      <c r="BC375" s="49"/>
      <c r="BD375" s="49"/>
      <c r="BE375" s="49"/>
      <c r="BF375" s="49"/>
      <c r="BG375" s="49"/>
      <c r="BH375" s="49"/>
      <c r="BI375" s="49"/>
      <c r="BJ375" s="49"/>
      <c r="BK375" s="49"/>
      <c r="BL375" s="49"/>
      <c r="BM375" s="49"/>
      <c r="BN375" s="49"/>
      <c r="BO375" s="49"/>
      <c r="BP375" s="49"/>
      <c r="BQ375" s="49"/>
      <c r="BR375" s="49"/>
      <c r="BS375" s="49"/>
      <c r="BT375" s="49"/>
      <c r="BU375" s="49"/>
      <c r="BV375" s="49"/>
      <c r="BW375" s="49"/>
      <c r="BX375" s="49"/>
      <c r="BY375" s="49"/>
      <c r="BZ375" s="49"/>
      <c r="CA375" s="49"/>
      <c r="CB375" s="49"/>
      <c r="CC375" s="49"/>
      <c r="CD375" s="49"/>
      <c r="CE375" s="49"/>
      <c r="CF375" s="49"/>
      <c r="CG375" s="49"/>
      <c r="CH375" s="49"/>
      <c r="CI375" s="49"/>
      <c r="CJ375" s="49"/>
      <c r="CK375" s="49"/>
      <c r="CL375" s="49"/>
      <c r="CM375" s="49"/>
      <c r="CN375" s="49"/>
      <c r="CO375" s="49"/>
      <c r="CP375" s="49"/>
      <c r="CQ375" s="49"/>
      <c r="CR375" s="49"/>
      <c r="CS375" s="49"/>
      <c r="CT375" s="49"/>
      <c r="CU375" s="49"/>
      <c r="CV375" s="49"/>
      <c r="CW375" s="49"/>
      <c r="CX375" s="49"/>
      <c r="CY375" s="49"/>
      <c r="CZ375" s="49"/>
    </row>
    <row r="376" spans="2:113" ht="18" customHeight="1" x14ac:dyDescent="0.4">
      <c r="B376" s="27">
        <f t="shared" si="25"/>
        <v>365</v>
      </c>
      <c r="C376" s="28"/>
      <c r="D376" s="29"/>
      <c r="E376" s="29"/>
      <c r="F376" s="30"/>
      <c r="G376" s="31"/>
      <c r="H376" s="39"/>
      <c r="I376" s="32" t="str">
        <f t="shared" si="26"/>
        <v/>
      </c>
      <c r="J376" s="33"/>
      <c r="K376" s="33"/>
      <c r="L376" s="34"/>
      <c r="M376" s="34"/>
      <c r="N376" s="36"/>
      <c r="O376" s="36"/>
      <c r="P376" s="36"/>
      <c r="Q376" s="36"/>
      <c r="R376" s="38"/>
      <c r="S376" s="38"/>
      <c r="T376" s="36"/>
      <c r="U376" s="36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8"/>
      <c r="CZ376" s="38"/>
      <c r="DA376" s="13"/>
      <c r="DB376" s="13"/>
      <c r="DC376" s="13"/>
      <c r="DD376" s="13"/>
      <c r="DE376" s="13"/>
      <c r="DF376" s="13"/>
      <c r="DG376" s="13"/>
      <c r="DH376" s="13"/>
      <c r="DI376" s="13"/>
    </row>
    <row r="377" spans="2:113" ht="18" customHeight="1" x14ac:dyDescent="0.4">
      <c r="B377" s="27">
        <f t="shared" si="25"/>
        <v>366</v>
      </c>
      <c r="C377" s="28"/>
      <c r="D377" s="29"/>
      <c r="E377" s="29"/>
      <c r="F377" s="30"/>
      <c r="G377" s="31"/>
      <c r="H377" s="39"/>
      <c r="I377" s="32" t="str">
        <f t="shared" si="26"/>
        <v/>
      </c>
      <c r="J377" s="33"/>
      <c r="K377" s="33"/>
      <c r="L377" s="34"/>
      <c r="M377" s="34"/>
      <c r="N377" s="44"/>
      <c r="O377" s="36"/>
      <c r="P377" s="36"/>
      <c r="Q377" s="36"/>
      <c r="R377" s="38"/>
      <c r="S377" s="38"/>
      <c r="T377" s="38"/>
      <c r="U377" s="38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8"/>
      <c r="CZ377" s="38"/>
      <c r="DA377" s="13"/>
      <c r="DB377" s="13"/>
      <c r="DC377" s="13"/>
      <c r="DD377" s="13"/>
      <c r="DE377" s="13"/>
      <c r="DF377" s="13"/>
      <c r="DG377" s="13"/>
      <c r="DH377" s="13"/>
      <c r="DI377" s="13"/>
    </row>
    <row r="378" spans="2:113" ht="18" customHeight="1" x14ac:dyDescent="0.4">
      <c r="B378" s="27">
        <f t="shared" si="25"/>
        <v>367</v>
      </c>
      <c r="C378" s="28"/>
      <c r="D378" s="29"/>
      <c r="E378" s="29"/>
      <c r="F378" s="30"/>
      <c r="G378" s="31"/>
      <c r="H378" s="43"/>
      <c r="I378" s="32" t="str">
        <f t="shared" si="26"/>
        <v/>
      </c>
      <c r="J378" s="33"/>
      <c r="K378" s="33"/>
      <c r="L378" s="34"/>
      <c r="M378" s="34"/>
      <c r="N378" s="44"/>
      <c r="O378" s="36"/>
      <c r="P378" s="36"/>
      <c r="Q378" s="36"/>
      <c r="R378" s="36"/>
      <c r="S378" s="36"/>
      <c r="T378" s="38"/>
      <c r="U378" s="38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8"/>
      <c r="CZ378" s="38"/>
      <c r="DA378" s="13"/>
      <c r="DB378" s="13"/>
      <c r="DC378" s="13"/>
      <c r="DD378" s="13"/>
      <c r="DE378" s="13"/>
      <c r="DF378" s="13"/>
      <c r="DG378" s="13"/>
      <c r="DH378" s="13"/>
      <c r="DI378" s="13"/>
    </row>
    <row r="379" spans="2:113" ht="18" customHeight="1" x14ac:dyDescent="0.4">
      <c r="B379" s="27">
        <f t="shared" si="25"/>
        <v>368</v>
      </c>
      <c r="C379" s="28"/>
      <c r="D379" s="29"/>
      <c r="E379" s="29"/>
      <c r="F379" s="30"/>
      <c r="G379" s="31"/>
      <c r="H379" s="39"/>
      <c r="I379" s="32" t="str">
        <f t="shared" si="26"/>
        <v/>
      </c>
      <c r="J379" s="33"/>
      <c r="K379" s="33"/>
      <c r="L379" s="40"/>
      <c r="M379" s="40"/>
      <c r="N379" s="44"/>
      <c r="O379" s="36"/>
      <c r="P379" s="36"/>
      <c r="Q379" s="36"/>
      <c r="R379" s="36"/>
      <c r="S379" s="36"/>
      <c r="T379" s="38"/>
      <c r="U379" s="38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8"/>
      <c r="CZ379" s="38"/>
      <c r="DA379" s="13"/>
      <c r="DB379" s="13"/>
      <c r="DC379" s="13"/>
      <c r="DD379" s="13"/>
      <c r="DE379" s="13"/>
      <c r="DF379" s="13"/>
      <c r="DG379" s="13"/>
      <c r="DH379" s="13"/>
      <c r="DI379" s="13"/>
    </row>
    <row r="380" spans="2:113" ht="18" customHeight="1" x14ac:dyDescent="0.4">
      <c r="B380" s="27">
        <f t="shared" si="25"/>
        <v>369</v>
      </c>
      <c r="C380" s="28"/>
      <c r="D380" s="29"/>
      <c r="E380" s="29"/>
      <c r="F380" s="30"/>
      <c r="G380" s="31"/>
      <c r="H380" s="39"/>
      <c r="I380" s="32" t="str">
        <f t="shared" si="26"/>
        <v/>
      </c>
      <c r="J380" s="33"/>
      <c r="K380" s="33"/>
      <c r="L380" s="34"/>
      <c r="M380" s="34"/>
      <c r="N380" s="36"/>
      <c r="O380" s="36"/>
      <c r="P380" s="36"/>
      <c r="Q380" s="36"/>
      <c r="R380" s="38"/>
      <c r="S380" s="38"/>
      <c r="T380" s="36"/>
      <c r="U380" s="36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8"/>
      <c r="CZ380" s="38"/>
      <c r="DA380" s="13"/>
      <c r="DB380" s="13"/>
      <c r="DC380" s="13"/>
      <c r="DD380" s="13"/>
      <c r="DE380" s="13"/>
      <c r="DF380" s="13"/>
      <c r="DG380" s="13"/>
      <c r="DH380" s="13"/>
      <c r="DI380" s="13"/>
    </row>
    <row r="381" spans="2:113" ht="18" customHeight="1" x14ac:dyDescent="0.4">
      <c r="B381" s="27">
        <f t="shared" si="25"/>
        <v>370</v>
      </c>
      <c r="C381" s="28"/>
      <c r="D381" s="28"/>
      <c r="E381" s="29"/>
      <c r="F381" s="30"/>
      <c r="G381" s="31"/>
      <c r="H381" s="39"/>
      <c r="I381" s="32" t="str">
        <f t="shared" si="26"/>
        <v/>
      </c>
      <c r="J381" s="33"/>
      <c r="K381" s="33"/>
      <c r="L381" s="40"/>
      <c r="M381" s="40"/>
      <c r="N381" s="36"/>
      <c r="O381" s="36"/>
      <c r="P381" s="36"/>
      <c r="Q381" s="36"/>
      <c r="R381" s="38"/>
      <c r="S381" s="38"/>
      <c r="T381" s="36"/>
      <c r="U381" s="36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8"/>
      <c r="CZ381" s="38"/>
      <c r="DA381" s="13"/>
      <c r="DB381" s="13"/>
      <c r="DC381" s="13"/>
      <c r="DD381" s="13"/>
      <c r="DE381" s="13"/>
      <c r="DF381" s="13"/>
      <c r="DG381" s="13"/>
      <c r="DH381" s="13"/>
      <c r="DI381" s="13"/>
    </row>
    <row r="382" spans="2:113" ht="18" customHeight="1" x14ac:dyDescent="0.4">
      <c r="B382" s="27">
        <f t="shared" si="25"/>
        <v>371</v>
      </c>
      <c r="C382" s="28"/>
      <c r="D382" s="29"/>
      <c r="E382" s="29"/>
      <c r="F382" s="30"/>
      <c r="G382" s="31"/>
      <c r="H382" s="39"/>
      <c r="I382" s="32" t="str">
        <f t="shared" si="26"/>
        <v/>
      </c>
      <c r="J382" s="33"/>
      <c r="K382" s="33"/>
      <c r="L382" s="40"/>
      <c r="M382" s="40"/>
      <c r="N382" s="36"/>
      <c r="O382" s="36"/>
      <c r="P382" s="36"/>
      <c r="Q382" s="36"/>
      <c r="R382" s="38"/>
      <c r="S382" s="38"/>
      <c r="T382" s="36"/>
      <c r="U382" s="36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8"/>
      <c r="CZ382" s="38"/>
      <c r="DA382" s="13"/>
      <c r="DB382" s="13"/>
      <c r="DC382" s="13"/>
      <c r="DD382" s="13"/>
      <c r="DE382" s="13"/>
      <c r="DF382" s="13"/>
      <c r="DG382" s="13"/>
      <c r="DH382" s="13"/>
      <c r="DI382" s="13"/>
    </row>
    <row r="383" spans="2:113" ht="18" customHeight="1" x14ac:dyDescent="0.4">
      <c r="B383" s="27">
        <f t="shared" si="25"/>
        <v>372</v>
      </c>
      <c r="C383" s="28"/>
      <c r="D383" s="29"/>
      <c r="E383" s="29"/>
      <c r="F383" s="30"/>
      <c r="G383" s="31"/>
      <c r="H383" s="39"/>
      <c r="I383" s="32" t="str">
        <f t="shared" si="26"/>
        <v/>
      </c>
      <c r="J383" s="33"/>
      <c r="K383" s="33"/>
      <c r="L383" s="40"/>
      <c r="M383" s="40"/>
      <c r="N383" s="36"/>
      <c r="O383" s="36"/>
      <c r="P383" s="36"/>
      <c r="Q383" s="36"/>
      <c r="R383" s="38"/>
      <c r="S383" s="38"/>
      <c r="T383" s="36"/>
      <c r="U383" s="36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8"/>
      <c r="CZ383" s="38"/>
      <c r="DA383" s="13"/>
      <c r="DB383" s="13"/>
      <c r="DC383" s="13"/>
      <c r="DD383" s="13"/>
      <c r="DE383" s="13"/>
      <c r="DF383" s="13"/>
      <c r="DG383" s="13"/>
      <c r="DH383" s="13"/>
      <c r="DI383" s="13"/>
    </row>
    <row r="384" spans="2:113" ht="18" customHeight="1" x14ac:dyDescent="0.4">
      <c r="B384" s="27">
        <f t="shared" si="25"/>
        <v>373</v>
      </c>
      <c r="C384" s="28"/>
      <c r="D384" s="29"/>
      <c r="E384" s="29"/>
      <c r="F384" s="30"/>
      <c r="G384" s="31"/>
      <c r="H384" s="39"/>
      <c r="I384" s="32" t="str">
        <f t="shared" si="26"/>
        <v/>
      </c>
      <c r="J384" s="33"/>
      <c r="K384" s="33"/>
      <c r="L384" s="34"/>
      <c r="M384" s="34"/>
      <c r="N384" s="36"/>
      <c r="O384" s="36"/>
      <c r="P384" s="36"/>
      <c r="Q384" s="36"/>
      <c r="R384" s="38"/>
      <c r="S384" s="38"/>
      <c r="T384" s="38"/>
      <c r="U384" s="38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50"/>
      <c r="BY384" s="50"/>
      <c r="BZ384" s="50"/>
      <c r="CA384" s="50"/>
      <c r="CB384" s="50"/>
      <c r="CC384" s="36"/>
      <c r="CD384" s="36"/>
      <c r="CE384" s="50"/>
      <c r="CF384" s="50"/>
      <c r="CG384" s="50"/>
      <c r="CH384" s="50"/>
      <c r="CI384" s="50"/>
      <c r="CJ384" s="36"/>
      <c r="CK384" s="36"/>
      <c r="CL384" s="50"/>
      <c r="CM384" s="50"/>
      <c r="CN384" s="50"/>
      <c r="CO384" s="50"/>
      <c r="CP384" s="50"/>
      <c r="CQ384" s="36"/>
      <c r="CR384" s="36"/>
      <c r="CS384" s="39"/>
      <c r="CT384" s="39"/>
      <c r="CU384" s="39"/>
      <c r="CV384" s="39"/>
      <c r="CW384" s="39"/>
      <c r="CX384" s="36"/>
      <c r="CY384" s="38"/>
      <c r="CZ384" s="38"/>
      <c r="DA384" s="13"/>
      <c r="DB384" s="13"/>
      <c r="DC384" s="13"/>
      <c r="DD384" s="13"/>
      <c r="DE384" s="13"/>
      <c r="DF384" s="13"/>
      <c r="DG384" s="13"/>
      <c r="DH384" s="13"/>
      <c r="DI384" s="13"/>
    </row>
    <row r="385" spans="2:113" ht="18" customHeight="1" x14ac:dyDescent="0.4">
      <c r="B385" s="27">
        <f t="shared" si="25"/>
        <v>374</v>
      </c>
      <c r="C385" s="28"/>
      <c r="D385" s="29"/>
      <c r="E385" s="29"/>
      <c r="F385" s="30"/>
      <c r="G385" s="31"/>
      <c r="H385" s="43"/>
      <c r="I385" s="32" t="str">
        <f t="shared" si="26"/>
        <v/>
      </c>
      <c r="J385" s="33"/>
      <c r="K385" s="33"/>
      <c r="L385" s="40"/>
      <c r="M385" s="40"/>
      <c r="N385" s="36"/>
      <c r="O385" s="36"/>
      <c r="P385" s="36"/>
      <c r="Q385" s="36"/>
      <c r="R385" s="38"/>
      <c r="S385" s="38"/>
      <c r="T385" s="38"/>
      <c r="U385" s="38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50"/>
      <c r="BG385" s="50"/>
      <c r="BH385" s="36"/>
      <c r="BI385" s="36"/>
      <c r="BJ385" s="50"/>
      <c r="BK385" s="50"/>
      <c r="BL385" s="50"/>
      <c r="BM385" s="50"/>
      <c r="BN385" s="50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8"/>
      <c r="CZ385" s="38"/>
      <c r="DA385" s="13"/>
      <c r="DB385" s="13"/>
      <c r="DC385" s="13"/>
      <c r="DD385" s="13"/>
      <c r="DE385" s="13"/>
      <c r="DF385" s="13"/>
      <c r="DG385" s="13"/>
      <c r="DH385" s="13"/>
      <c r="DI385" s="13"/>
    </row>
    <row r="386" spans="2:113" ht="18" customHeight="1" x14ac:dyDescent="0.4">
      <c r="B386" s="27">
        <f t="shared" si="25"/>
        <v>375</v>
      </c>
      <c r="C386" s="28"/>
      <c r="D386" s="29"/>
      <c r="E386" s="29"/>
      <c r="F386" s="30"/>
      <c r="G386" s="31"/>
      <c r="H386" s="39"/>
      <c r="I386" s="32" t="str">
        <f t="shared" si="26"/>
        <v/>
      </c>
      <c r="J386" s="33"/>
      <c r="K386" s="33"/>
      <c r="L386" s="40"/>
      <c r="M386" s="40"/>
      <c r="N386" s="36"/>
      <c r="O386" s="36"/>
      <c r="P386" s="36"/>
      <c r="Q386" s="36"/>
      <c r="R386" s="38"/>
      <c r="S386" s="38"/>
      <c r="T386" s="52"/>
      <c r="U386" s="5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39"/>
      <c r="BG386" s="39"/>
      <c r="BH386" s="36"/>
      <c r="BI386" s="36"/>
      <c r="BJ386" s="39"/>
      <c r="BK386" s="39"/>
      <c r="BL386" s="39"/>
      <c r="BM386" s="39"/>
      <c r="BN386" s="39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8"/>
      <c r="CZ386" s="38"/>
      <c r="DA386" s="13"/>
      <c r="DB386" s="13"/>
      <c r="DC386" s="13"/>
      <c r="DD386" s="13"/>
      <c r="DE386" s="13"/>
      <c r="DF386" s="13"/>
      <c r="DG386" s="13"/>
      <c r="DH386" s="13"/>
      <c r="DI386" s="13"/>
    </row>
    <row r="387" spans="2:113" ht="18" customHeight="1" x14ac:dyDescent="0.4">
      <c r="B387" s="27">
        <f t="shared" si="25"/>
        <v>376</v>
      </c>
      <c r="C387" s="28"/>
      <c r="D387" s="28"/>
      <c r="E387" s="29"/>
      <c r="F387" s="30"/>
      <c r="G387" s="31"/>
      <c r="H387" s="43"/>
      <c r="I387" s="32" t="str">
        <f t="shared" si="26"/>
        <v/>
      </c>
      <c r="J387" s="33"/>
      <c r="K387" s="33"/>
      <c r="L387" s="34"/>
      <c r="M387" s="34"/>
      <c r="N387" s="44"/>
      <c r="O387" s="36"/>
      <c r="P387" s="36"/>
      <c r="Q387" s="36"/>
      <c r="R387" s="36"/>
      <c r="S387" s="36"/>
      <c r="T387" s="38"/>
      <c r="U387" s="38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8"/>
      <c r="CZ387" s="38"/>
      <c r="DA387" s="13"/>
      <c r="DB387" s="13"/>
      <c r="DC387" s="13"/>
      <c r="DD387" s="13"/>
      <c r="DE387" s="13"/>
      <c r="DF387" s="13"/>
      <c r="DG387" s="13"/>
      <c r="DH387" s="13"/>
      <c r="DI387" s="13"/>
    </row>
    <row r="388" spans="2:113" ht="18" customHeight="1" x14ac:dyDescent="0.4">
      <c r="B388" s="27">
        <f t="shared" si="25"/>
        <v>377</v>
      </c>
      <c r="C388" s="28"/>
      <c r="D388" s="29"/>
      <c r="E388" s="29"/>
      <c r="F388" s="30"/>
      <c r="G388" s="31"/>
      <c r="H388" s="45"/>
      <c r="I388" s="32" t="str">
        <f t="shared" si="26"/>
        <v/>
      </c>
      <c r="J388" s="33"/>
      <c r="K388" s="33"/>
      <c r="L388" s="46"/>
      <c r="M388" s="46"/>
      <c r="N388" s="36"/>
      <c r="O388" s="36"/>
      <c r="P388" s="36"/>
      <c r="Q388" s="36"/>
      <c r="R388" s="38"/>
      <c r="S388" s="38"/>
      <c r="T388" s="52"/>
      <c r="U388" s="5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8"/>
      <c r="CZ388" s="38"/>
      <c r="DA388" s="13"/>
      <c r="DB388" s="13"/>
      <c r="DC388" s="13"/>
      <c r="DD388" s="13"/>
      <c r="DE388" s="13"/>
      <c r="DF388" s="13"/>
      <c r="DG388" s="13"/>
      <c r="DH388" s="13"/>
      <c r="DI388" s="13"/>
    </row>
    <row r="389" spans="2:113" ht="18" customHeight="1" x14ac:dyDescent="0.4">
      <c r="B389" s="27">
        <f t="shared" si="25"/>
        <v>378</v>
      </c>
      <c r="C389" s="28"/>
      <c r="D389" s="29"/>
      <c r="E389" s="29"/>
      <c r="F389" s="30"/>
      <c r="G389" s="31"/>
      <c r="H389" s="45"/>
      <c r="I389" s="32" t="str">
        <f t="shared" si="26"/>
        <v/>
      </c>
      <c r="J389" s="33"/>
      <c r="K389" s="33"/>
      <c r="L389" s="46"/>
      <c r="M389" s="46"/>
      <c r="N389" s="41"/>
      <c r="O389" s="36"/>
      <c r="P389" s="36"/>
      <c r="Q389" s="41"/>
      <c r="R389" s="38"/>
      <c r="S389" s="38"/>
      <c r="T389" s="38"/>
      <c r="U389" s="38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37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8"/>
      <c r="CZ389" s="38"/>
      <c r="DA389" s="13"/>
      <c r="DB389" s="13"/>
      <c r="DC389" s="13"/>
      <c r="DD389" s="13"/>
      <c r="DE389" s="13"/>
      <c r="DF389" s="13"/>
      <c r="DG389" s="13"/>
      <c r="DH389" s="13"/>
      <c r="DI389" s="13"/>
    </row>
    <row r="390" spans="2:113" ht="18" customHeight="1" x14ac:dyDescent="0.4">
      <c r="B390" s="27">
        <f t="shared" si="25"/>
        <v>379</v>
      </c>
      <c r="C390" s="28"/>
      <c r="D390" s="28"/>
      <c r="E390" s="29"/>
      <c r="F390" s="30"/>
      <c r="G390" s="31"/>
      <c r="H390" s="43"/>
      <c r="I390" s="32" t="str">
        <f t="shared" si="26"/>
        <v/>
      </c>
      <c r="J390" s="33"/>
      <c r="K390" s="33"/>
      <c r="L390" s="34"/>
      <c r="M390" s="34"/>
      <c r="N390" s="36"/>
      <c r="O390" s="36"/>
      <c r="P390" s="36"/>
      <c r="Q390" s="36"/>
      <c r="R390" s="38"/>
      <c r="S390" s="38"/>
      <c r="T390" s="38"/>
      <c r="U390" s="38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8"/>
      <c r="CZ390" s="38"/>
      <c r="DA390" s="13"/>
      <c r="DB390" s="13"/>
      <c r="DC390" s="13"/>
      <c r="DD390" s="13"/>
      <c r="DE390" s="13"/>
      <c r="DF390" s="13"/>
      <c r="DG390" s="13"/>
      <c r="DH390" s="13"/>
      <c r="DI390" s="13"/>
    </row>
    <row r="391" spans="2:113" ht="18" customHeight="1" x14ac:dyDescent="0.4">
      <c r="B391" s="27">
        <f t="shared" si="25"/>
        <v>380</v>
      </c>
      <c r="C391" s="28"/>
      <c r="D391" s="28"/>
      <c r="E391" s="29"/>
      <c r="F391" s="30"/>
      <c r="G391" s="31"/>
      <c r="H391" s="39"/>
      <c r="I391" s="32" t="str">
        <f t="shared" si="26"/>
        <v/>
      </c>
      <c r="J391" s="33"/>
      <c r="K391" s="33"/>
      <c r="L391" s="34"/>
      <c r="M391" s="34"/>
      <c r="N391" s="47"/>
      <c r="O391" s="36"/>
      <c r="P391" s="36"/>
      <c r="Q391" s="36"/>
      <c r="R391" s="38"/>
      <c r="S391" s="38"/>
      <c r="T391" s="38"/>
      <c r="U391" s="38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8"/>
      <c r="CZ391" s="38"/>
      <c r="DA391" s="13"/>
      <c r="DB391" s="13"/>
      <c r="DC391" s="13"/>
      <c r="DD391" s="13"/>
      <c r="DE391" s="13"/>
      <c r="DF391" s="13"/>
      <c r="DG391" s="13"/>
      <c r="DH391" s="13"/>
      <c r="DI391" s="13"/>
    </row>
    <row r="392" spans="2:113" ht="18" customHeight="1" x14ac:dyDescent="0.4">
      <c r="B392" s="27">
        <f t="shared" si="25"/>
        <v>381</v>
      </c>
      <c r="C392" s="28"/>
      <c r="D392" s="28"/>
      <c r="E392" s="29"/>
      <c r="F392" s="30"/>
      <c r="G392" s="31"/>
      <c r="H392" s="43"/>
      <c r="I392" s="32" t="str">
        <f t="shared" si="26"/>
        <v/>
      </c>
      <c r="J392" s="33"/>
      <c r="K392" s="33"/>
      <c r="L392" s="34"/>
      <c r="M392" s="34"/>
      <c r="N392" s="36"/>
      <c r="O392" s="36"/>
      <c r="P392" s="36"/>
      <c r="Q392" s="36"/>
      <c r="R392" s="38"/>
      <c r="S392" s="38"/>
      <c r="T392" s="53"/>
      <c r="U392" s="53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8"/>
      <c r="CZ392" s="38"/>
      <c r="DA392" s="13"/>
      <c r="DB392" s="13"/>
      <c r="DC392" s="13"/>
      <c r="DD392" s="13"/>
      <c r="DE392" s="13"/>
      <c r="DF392" s="13"/>
      <c r="DG392" s="13"/>
      <c r="DH392" s="13"/>
      <c r="DI392" s="13"/>
    </row>
    <row r="393" spans="2:113" ht="18" customHeight="1" x14ac:dyDescent="0.4">
      <c r="B393" s="27">
        <f t="shared" si="25"/>
        <v>382</v>
      </c>
      <c r="C393" s="28"/>
      <c r="D393" s="29"/>
      <c r="E393" s="29"/>
      <c r="F393" s="30"/>
      <c r="G393" s="31"/>
      <c r="H393" s="39"/>
      <c r="I393" s="32" t="str">
        <f t="shared" si="26"/>
        <v/>
      </c>
      <c r="J393" s="33"/>
      <c r="K393" s="33"/>
      <c r="L393" s="34"/>
      <c r="M393" s="34"/>
      <c r="N393" s="44"/>
      <c r="O393" s="36"/>
      <c r="P393" s="36"/>
      <c r="Q393" s="36"/>
      <c r="R393" s="38"/>
      <c r="S393" s="38"/>
      <c r="T393" s="38"/>
      <c r="U393" s="38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8"/>
      <c r="CZ393" s="38"/>
      <c r="DA393" s="13"/>
      <c r="DB393" s="13"/>
      <c r="DC393" s="13"/>
      <c r="DD393" s="13"/>
      <c r="DE393" s="13"/>
      <c r="DF393" s="13"/>
      <c r="DG393" s="13"/>
      <c r="DH393" s="13"/>
      <c r="DI393" s="13"/>
    </row>
    <row r="394" spans="2:113" ht="18" customHeight="1" x14ac:dyDescent="0.4">
      <c r="B394" s="27">
        <f t="shared" si="25"/>
        <v>383</v>
      </c>
      <c r="C394" s="28"/>
      <c r="D394" s="29"/>
      <c r="E394" s="29"/>
      <c r="F394" s="30"/>
      <c r="G394" s="31"/>
      <c r="H394" s="43"/>
      <c r="I394" s="32" t="str">
        <f t="shared" si="26"/>
        <v/>
      </c>
      <c r="J394" s="33"/>
      <c r="K394" s="33"/>
      <c r="L394" s="34"/>
      <c r="M394" s="34"/>
      <c r="N394" s="54"/>
      <c r="O394" s="54"/>
      <c r="P394" s="54"/>
      <c r="Q394" s="54"/>
      <c r="R394" s="38"/>
      <c r="S394" s="38"/>
      <c r="T394" s="38"/>
      <c r="U394" s="38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8"/>
      <c r="CZ394" s="38"/>
      <c r="DA394" s="13"/>
      <c r="DB394" s="13"/>
      <c r="DC394" s="13"/>
      <c r="DD394" s="13"/>
      <c r="DE394" s="13"/>
      <c r="DF394" s="13"/>
      <c r="DG394" s="13"/>
      <c r="DH394" s="13"/>
      <c r="DI394" s="13"/>
    </row>
    <row r="395" spans="2:113" ht="18" customHeight="1" x14ac:dyDescent="0.4">
      <c r="B395" s="27">
        <f t="shared" si="25"/>
        <v>384</v>
      </c>
      <c r="C395" s="28"/>
      <c r="D395" s="29"/>
      <c r="E395" s="29"/>
      <c r="F395" s="30"/>
      <c r="G395" s="31"/>
      <c r="H395" s="43"/>
      <c r="I395" s="32" t="str">
        <f t="shared" si="26"/>
        <v/>
      </c>
      <c r="J395" s="33"/>
      <c r="K395" s="33"/>
      <c r="L395" s="34"/>
      <c r="M395" s="34"/>
      <c r="N395" s="54"/>
      <c r="O395" s="54"/>
      <c r="P395" s="54"/>
      <c r="Q395" s="54"/>
      <c r="R395" s="38"/>
      <c r="S395" s="38"/>
      <c r="T395" s="54"/>
      <c r="U395" s="54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8"/>
      <c r="CZ395" s="38"/>
      <c r="DA395" s="13"/>
      <c r="DB395" s="13"/>
      <c r="DC395" s="13"/>
      <c r="DD395" s="13"/>
      <c r="DE395" s="13"/>
      <c r="DF395" s="13"/>
      <c r="DG395" s="13"/>
      <c r="DH395" s="13"/>
      <c r="DI395" s="13"/>
    </row>
    <row r="396" spans="2:113" ht="18" customHeight="1" x14ac:dyDescent="0.4">
      <c r="B396" s="27">
        <f t="shared" si="25"/>
        <v>385</v>
      </c>
      <c r="C396" s="28"/>
      <c r="D396" s="29"/>
      <c r="E396" s="29"/>
      <c r="F396" s="30"/>
      <c r="G396" s="31"/>
      <c r="H396" s="39"/>
      <c r="I396" s="32" t="str">
        <f t="shared" si="26"/>
        <v/>
      </c>
      <c r="J396" s="33"/>
      <c r="K396" s="33"/>
      <c r="L396" s="40"/>
      <c r="M396" s="40"/>
      <c r="N396" s="44"/>
      <c r="O396" s="36"/>
      <c r="P396" s="36"/>
      <c r="Q396" s="36"/>
      <c r="R396" s="36"/>
      <c r="S396" s="36"/>
      <c r="T396" s="38"/>
      <c r="U396" s="38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8"/>
      <c r="CZ396" s="38"/>
      <c r="DA396" s="13"/>
      <c r="DB396" s="13"/>
      <c r="DC396" s="13"/>
      <c r="DD396" s="13"/>
      <c r="DE396" s="13"/>
      <c r="DF396" s="13"/>
      <c r="DG396" s="13"/>
      <c r="DH396" s="13"/>
      <c r="DI396" s="13"/>
    </row>
    <row r="397" spans="2:113" ht="18" customHeight="1" x14ac:dyDescent="0.4">
      <c r="B397" s="27">
        <f t="shared" si="25"/>
        <v>386</v>
      </c>
      <c r="C397" s="28"/>
      <c r="D397" s="29"/>
      <c r="E397" s="29"/>
      <c r="F397" s="30"/>
      <c r="G397" s="31"/>
      <c r="H397" s="39"/>
      <c r="I397" s="32" t="str">
        <f t="shared" si="26"/>
        <v/>
      </c>
      <c r="J397" s="33"/>
      <c r="K397" s="33"/>
      <c r="L397" s="40"/>
      <c r="M397" s="40"/>
      <c r="N397" s="36"/>
      <c r="O397" s="36"/>
      <c r="P397" s="36"/>
      <c r="Q397" s="36"/>
      <c r="R397" s="38"/>
      <c r="S397" s="38"/>
      <c r="T397" s="38"/>
      <c r="U397" s="38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50"/>
      <c r="BG397" s="50"/>
      <c r="BH397" s="36"/>
      <c r="BI397" s="36"/>
      <c r="BJ397" s="50"/>
      <c r="BK397" s="50"/>
      <c r="BL397" s="50"/>
      <c r="BM397" s="50"/>
      <c r="BN397" s="50"/>
      <c r="BO397" s="36"/>
      <c r="BP397" s="36"/>
      <c r="BQ397" s="39"/>
      <c r="BR397" s="39"/>
      <c r="BS397" s="39"/>
      <c r="BT397" s="39"/>
      <c r="BU397" s="39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8"/>
      <c r="CZ397" s="38"/>
      <c r="DA397" s="13"/>
      <c r="DB397" s="13"/>
      <c r="DC397" s="13"/>
      <c r="DD397" s="13"/>
      <c r="DE397" s="13"/>
      <c r="DF397" s="13"/>
      <c r="DG397" s="13"/>
      <c r="DH397" s="13"/>
      <c r="DI397" s="13"/>
    </row>
    <row r="398" spans="2:113" ht="18" customHeight="1" x14ac:dyDescent="0.4">
      <c r="B398" s="27">
        <f t="shared" si="25"/>
        <v>387</v>
      </c>
      <c r="C398" s="28"/>
      <c r="D398" s="29"/>
      <c r="E398" s="29"/>
      <c r="F398" s="30"/>
      <c r="G398" s="31"/>
      <c r="H398" s="39"/>
      <c r="I398" s="32" t="str">
        <f t="shared" si="26"/>
        <v/>
      </c>
      <c r="J398" s="33"/>
      <c r="K398" s="33"/>
      <c r="L398" s="40"/>
      <c r="M398" s="40"/>
      <c r="N398" s="36"/>
      <c r="O398" s="41"/>
      <c r="P398" s="41"/>
      <c r="Q398" s="41"/>
      <c r="R398" s="38"/>
      <c r="S398" s="38"/>
      <c r="T398" s="38"/>
      <c r="U398" s="38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8"/>
      <c r="CZ398" s="38"/>
      <c r="DA398" s="13"/>
      <c r="DB398" s="13"/>
      <c r="DC398" s="13"/>
      <c r="DD398" s="13"/>
      <c r="DE398" s="13"/>
      <c r="DF398" s="13"/>
      <c r="DG398" s="13"/>
      <c r="DH398" s="13"/>
      <c r="DI398" s="13"/>
    </row>
    <row r="399" spans="2:113" ht="18" customHeight="1" x14ac:dyDescent="0.4">
      <c r="B399" s="27">
        <f t="shared" si="25"/>
        <v>388</v>
      </c>
      <c r="C399" s="28"/>
      <c r="D399" s="29"/>
      <c r="E399" s="29"/>
      <c r="F399" s="30"/>
      <c r="G399" s="31"/>
      <c r="H399" s="39"/>
      <c r="I399" s="32" t="str">
        <f t="shared" si="26"/>
        <v/>
      </c>
      <c r="J399" s="33"/>
      <c r="K399" s="33"/>
      <c r="L399" s="34"/>
      <c r="M399" s="34"/>
      <c r="N399" s="36"/>
      <c r="O399" s="36"/>
      <c r="P399" s="36"/>
      <c r="Q399" s="36"/>
      <c r="R399" s="38"/>
      <c r="S399" s="38"/>
      <c r="T399" s="52"/>
      <c r="U399" s="52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8"/>
      <c r="CZ399" s="38"/>
      <c r="DA399" s="13"/>
      <c r="DB399" s="13"/>
      <c r="DC399" s="13"/>
      <c r="DD399" s="13"/>
      <c r="DE399" s="13"/>
      <c r="DF399" s="13"/>
      <c r="DG399" s="13"/>
      <c r="DH399" s="13"/>
      <c r="DI399" s="13"/>
    </row>
    <row r="400" spans="2:113" ht="18" customHeight="1" x14ac:dyDescent="0.4">
      <c r="B400" s="27">
        <f t="shared" si="25"/>
        <v>389</v>
      </c>
      <c r="C400" s="28"/>
      <c r="D400" s="29"/>
      <c r="E400" s="29"/>
      <c r="F400" s="30"/>
      <c r="G400" s="31"/>
      <c r="H400" s="39"/>
      <c r="I400" s="32" t="str">
        <f t="shared" si="26"/>
        <v/>
      </c>
      <c r="J400" s="33"/>
      <c r="K400" s="33"/>
      <c r="L400" s="40"/>
      <c r="M400" s="40"/>
      <c r="N400" s="36"/>
      <c r="O400" s="36"/>
      <c r="P400" s="36"/>
      <c r="Q400" s="36"/>
      <c r="R400" s="38"/>
      <c r="S400" s="38"/>
      <c r="T400" s="52"/>
      <c r="U400" s="52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8"/>
      <c r="CZ400" s="38"/>
      <c r="DA400" s="13"/>
      <c r="DB400" s="13"/>
      <c r="DC400" s="13"/>
      <c r="DD400" s="13"/>
      <c r="DE400" s="13"/>
      <c r="DF400" s="13"/>
      <c r="DG400" s="13"/>
      <c r="DH400" s="13"/>
      <c r="DI400" s="13"/>
    </row>
    <row r="401" spans="2:113" ht="18" customHeight="1" x14ac:dyDescent="0.4">
      <c r="B401" s="27">
        <f t="shared" si="25"/>
        <v>390</v>
      </c>
      <c r="C401" s="28"/>
      <c r="D401" s="29"/>
      <c r="E401" s="29"/>
      <c r="F401" s="30"/>
      <c r="G401" s="31"/>
      <c r="H401" s="39"/>
      <c r="I401" s="32" t="str">
        <f t="shared" si="26"/>
        <v/>
      </c>
      <c r="J401" s="33"/>
      <c r="K401" s="33"/>
      <c r="L401" s="34"/>
      <c r="M401" s="34"/>
      <c r="N401" s="48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49"/>
      <c r="AG401" s="49"/>
      <c r="AH401" s="49"/>
      <c r="AI401" s="49"/>
      <c r="AJ401" s="49"/>
      <c r="AK401" s="49"/>
      <c r="AL401" s="49"/>
      <c r="AM401" s="49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49"/>
      <c r="BB401" s="49"/>
      <c r="BC401" s="49"/>
      <c r="BD401" s="49"/>
      <c r="BE401" s="49"/>
      <c r="BF401" s="49"/>
      <c r="BG401" s="49"/>
      <c r="BH401" s="49"/>
      <c r="BI401" s="49"/>
      <c r="BJ401" s="49"/>
      <c r="BK401" s="49"/>
      <c r="BL401" s="49"/>
      <c r="BM401" s="49"/>
      <c r="BN401" s="49"/>
      <c r="BO401" s="49"/>
      <c r="BP401" s="49"/>
      <c r="BQ401" s="49"/>
      <c r="BR401" s="49"/>
      <c r="BS401" s="49"/>
      <c r="BT401" s="49"/>
      <c r="BU401" s="49"/>
      <c r="BV401" s="49"/>
      <c r="BW401" s="49"/>
      <c r="BX401" s="49"/>
      <c r="BY401" s="49"/>
      <c r="BZ401" s="49"/>
      <c r="CA401" s="49"/>
      <c r="CB401" s="49"/>
      <c r="CC401" s="49"/>
      <c r="CD401" s="49"/>
      <c r="CE401" s="49"/>
      <c r="CF401" s="49"/>
      <c r="CG401" s="49"/>
      <c r="CH401" s="49"/>
      <c r="CI401" s="49"/>
      <c r="CJ401" s="49"/>
      <c r="CK401" s="49"/>
      <c r="CL401" s="49"/>
      <c r="CM401" s="49"/>
      <c r="CN401" s="49"/>
      <c r="CO401" s="49"/>
      <c r="CP401" s="49"/>
      <c r="CQ401" s="49"/>
      <c r="CR401" s="49"/>
      <c r="CS401" s="49"/>
      <c r="CT401" s="49"/>
      <c r="CU401" s="49"/>
      <c r="CV401" s="49"/>
      <c r="CW401" s="49"/>
      <c r="CX401" s="49"/>
      <c r="CY401" s="49"/>
      <c r="CZ401" s="49"/>
    </row>
    <row r="402" spans="2:113" ht="18" customHeight="1" x14ac:dyDescent="0.4">
      <c r="B402" s="27">
        <f t="shared" si="25"/>
        <v>391</v>
      </c>
      <c r="C402" s="28"/>
      <c r="D402" s="29"/>
      <c r="E402" s="29"/>
      <c r="F402" s="30"/>
      <c r="G402" s="31"/>
      <c r="H402" s="45"/>
      <c r="I402" s="32" t="str">
        <f t="shared" si="26"/>
        <v/>
      </c>
      <c r="J402" s="33"/>
      <c r="K402" s="33"/>
      <c r="L402" s="46"/>
      <c r="M402" s="46"/>
      <c r="N402" s="48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49"/>
      <c r="AG402" s="49"/>
      <c r="AH402" s="49"/>
      <c r="AI402" s="49"/>
      <c r="AJ402" s="49"/>
      <c r="AK402" s="49"/>
      <c r="AL402" s="49"/>
      <c r="AM402" s="49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49"/>
      <c r="AZ402" s="49"/>
      <c r="BA402" s="49"/>
      <c r="BB402" s="49"/>
      <c r="BC402" s="49"/>
      <c r="BD402" s="49"/>
      <c r="BE402" s="49"/>
      <c r="BF402" s="49"/>
      <c r="BG402" s="49"/>
      <c r="BH402" s="49"/>
      <c r="BI402" s="49"/>
      <c r="BJ402" s="49"/>
      <c r="BK402" s="49"/>
      <c r="BL402" s="49"/>
      <c r="BM402" s="49"/>
      <c r="BN402" s="49"/>
      <c r="BO402" s="49"/>
      <c r="BP402" s="49"/>
      <c r="BQ402" s="49"/>
      <c r="BR402" s="49"/>
      <c r="BS402" s="49"/>
      <c r="BT402" s="49"/>
      <c r="BU402" s="49"/>
      <c r="BV402" s="49"/>
      <c r="BW402" s="49"/>
      <c r="BX402" s="49"/>
      <c r="BY402" s="49"/>
      <c r="BZ402" s="49"/>
      <c r="CA402" s="49"/>
      <c r="CB402" s="49"/>
      <c r="CC402" s="49"/>
      <c r="CD402" s="49"/>
      <c r="CE402" s="49"/>
      <c r="CF402" s="49"/>
      <c r="CG402" s="49"/>
      <c r="CH402" s="49"/>
      <c r="CI402" s="49"/>
      <c r="CJ402" s="49"/>
      <c r="CK402" s="49"/>
      <c r="CL402" s="49"/>
      <c r="CM402" s="49"/>
      <c r="CN402" s="49"/>
      <c r="CO402" s="49"/>
      <c r="CP402" s="49"/>
      <c r="CQ402" s="49"/>
      <c r="CR402" s="49"/>
      <c r="CS402" s="49"/>
      <c r="CT402" s="49"/>
      <c r="CU402" s="49"/>
      <c r="CV402" s="49"/>
      <c r="CW402" s="49"/>
      <c r="CX402" s="49"/>
      <c r="CY402" s="49"/>
      <c r="CZ402" s="49"/>
    </row>
    <row r="403" spans="2:113" ht="18" customHeight="1" x14ac:dyDescent="0.4">
      <c r="B403" s="27">
        <f t="shared" si="25"/>
        <v>392</v>
      </c>
      <c r="C403" s="28"/>
      <c r="D403" s="29"/>
      <c r="E403" s="29"/>
      <c r="F403" s="30"/>
      <c r="G403" s="31"/>
      <c r="H403" s="39"/>
      <c r="I403" s="32" t="str">
        <f t="shared" si="26"/>
        <v/>
      </c>
      <c r="J403" s="33"/>
      <c r="K403" s="33"/>
      <c r="L403" s="40"/>
      <c r="M403" s="40"/>
      <c r="N403" s="44"/>
      <c r="O403" s="36"/>
      <c r="P403" s="36"/>
      <c r="Q403" s="36"/>
      <c r="R403" s="36"/>
      <c r="S403" s="36"/>
      <c r="T403" s="38"/>
      <c r="U403" s="38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  <c r="BE403" s="37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8"/>
      <c r="CZ403" s="38"/>
      <c r="DA403" s="13"/>
      <c r="DB403" s="13"/>
      <c r="DC403" s="13"/>
      <c r="DD403" s="13"/>
      <c r="DE403" s="13"/>
      <c r="DF403" s="13"/>
      <c r="DG403" s="13"/>
      <c r="DH403" s="13"/>
      <c r="DI403" s="13"/>
    </row>
    <row r="404" spans="2:113" ht="18" customHeight="1" x14ac:dyDescent="0.4">
      <c r="B404" s="27">
        <f t="shared" si="25"/>
        <v>393</v>
      </c>
      <c r="C404" s="28"/>
      <c r="D404" s="28"/>
      <c r="E404" s="29"/>
      <c r="F404" s="30"/>
      <c r="G404" s="31"/>
      <c r="H404" s="39"/>
      <c r="I404" s="32" t="str">
        <f t="shared" si="26"/>
        <v/>
      </c>
      <c r="J404" s="33"/>
      <c r="K404" s="33"/>
      <c r="L404" s="40"/>
      <c r="M404" s="40"/>
      <c r="N404" s="48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49"/>
      <c r="AZ404" s="49"/>
      <c r="BA404" s="49"/>
      <c r="BB404" s="49"/>
      <c r="BC404" s="49"/>
      <c r="BD404" s="49"/>
      <c r="BE404" s="49"/>
      <c r="BF404" s="49"/>
      <c r="BG404" s="49"/>
      <c r="BH404" s="49"/>
      <c r="BI404" s="49"/>
      <c r="BJ404" s="49"/>
      <c r="BK404" s="49"/>
      <c r="BL404" s="49"/>
      <c r="BM404" s="49"/>
      <c r="BN404" s="49"/>
      <c r="BO404" s="49"/>
      <c r="BP404" s="49"/>
      <c r="BQ404" s="49"/>
      <c r="BR404" s="49"/>
      <c r="BS404" s="49"/>
      <c r="BT404" s="49"/>
      <c r="BU404" s="49"/>
      <c r="BV404" s="49"/>
      <c r="BW404" s="49"/>
      <c r="BX404" s="49"/>
      <c r="BY404" s="49"/>
      <c r="BZ404" s="49"/>
      <c r="CA404" s="49"/>
      <c r="CB404" s="49"/>
      <c r="CC404" s="49"/>
      <c r="CD404" s="49"/>
      <c r="CE404" s="49"/>
      <c r="CF404" s="49"/>
      <c r="CG404" s="49"/>
      <c r="CH404" s="49"/>
      <c r="CI404" s="49"/>
      <c r="CJ404" s="49"/>
      <c r="CK404" s="49"/>
      <c r="CL404" s="49"/>
      <c r="CM404" s="49"/>
      <c r="CN404" s="49"/>
      <c r="CO404" s="49"/>
      <c r="CP404" s="49"/>
      <c r="CQ404" s="49"/>
      <c r="CR404" s="49"/>
      <c r="CS404" s="49"/>
      <c r="CT404" s="49"/>
      <c r="CU404" s="49"/>
      <c r="CV404" s="49"/>
      <c r="CW404" s="49"/>
      <c r="CX404" s="49"/>
      <c r="CY404" s="49"/>
      <c r="CZ404" s="49"/>
    </row>
    <row r="405" spans="2:113" ht="18" customHeight="1" x14ac:dyDescent="0.4">
      <c r="B405" s="27">
        <f t="shared" si="25"/>
        <v>394</v>
      </c>
      <c r="C405" s="28"/>
      <c r="D405" s="28"/>
      <c r="E405" s="29"/>
      <c r="F405" s="30"/>
      <c r="G405" s="31"/>
      <c r="H405" s="39"/>
      <c r="I405" s="32" t="str">
        <f t="shared" si="26"/>
        <v/>
      </c>
      <c r="J405" s="33"/>
      <c r="K405" s="33"/>
      <c r="L405" s="34"/>
      <c r="M405" s="34"/>
      <c r="N405" s="48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  <c r="BA405" s="49"/>
      <c r="BB405" s="49"/>
      <c r="BC405" s="49"/>
      <c r="BD405" s="49"/>
      <c r="BE405" s="49"/>
      <c r="BF405" s="49"/>
      <c r="BG405" s="49"/>
      <c r="BH405" s="49"/>
      <c r="BI405" s="49"/>
      <c r="BJ405" s="49"/>
      <c r="BK405" s="49"/>
      <c r="BL405" s="49"/>
      <c r="BM405" s="49"/>
      <c r="BN405" s="49"/>
      <c r="BO405" s="49"/>
      <c r="BP405" s="49"/>
      <c r="BQ405" s="49"/>
      <c r="BR405" s="49"/>
      <c r="BS405" s="49"/>
      <c r="BT405" s="49"/>
      <c r="BU405" s="49"/>
      <c r="BV405" s="49"/>
      <c r="BW405" s="49"/>
      <c r="BX405" s="49"/>
      <c r="BY405" s="49"/>
      <c r="BZ405" s="49"/>
      <c r="CA405" s="49"/>
      <c r="CB405" s="49"/>
      <c r="CC405" s="49"/>
      <c r="CD405" s="49"/>
      <c r="CE405" s="49"/>
      <c r="CF405" s="49"/>
      <c r="CG405" s="49"/>
      <c r="CH405" s="49"/>
      <c r="CI405" s="49"/>
      <c r="CJ405" s="49"/>
      <c r="CK405" s="49"/>
      <c r="CL405" s="49"/>
      <c r="CM405" s="49"/>
      <c r="CN405" s="49"/>
      <c r="CO405" s="49"/>
      <c r="CP405" s="49"/>
      <c r="CQ405" s="49"/>
      <c r="CR405" s="49"/>
      <c r="CS405" s="49"/>
      <c r="CT405" s="49"/>
      <c r="CU405" s="49"/>
      <c r="CV405" s="49"/>
      <c r="CW405" s="49"/>
      <c r="CX405" s="49"/>
      <c r="CY405" s="49"/>
      <c r="CZ405" s="49"/>
    </row>
    <row r="406" spans="2:113" ht="18" customHeight="1" x14ac:dyDescent="0.4">
      <c r="B406" s="27">
        <f t="shared" si="25"/>
        <v>395</v>
      </c>
      <c r="C406" s="28"/>
      <c r="D406" s="28"/>
      <c r="E406" s="29"/>
      <c r="F406" s="30"/>
      <c r="G406" s="31"/>
      <c r="H406" s="45"/>
      <c r="I406" s="32" t="str">
        <f t="shared" si="26"/>
        <v/>
      </c>
      <c r="J406" s="33"/>
      <c r="K406" s="33"/>
      <c r="L406" s="46"/>
      <c r="M406" s="46"/>
      <c r="N406" s="48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49"/>
      <c r="AG406" s="49"/>
      <c r="AH406" s="49"/>
      <c r="AI406" s="49"/>
      <c r="AJ406" s="49"/>
      <c r="AK406" s="49"/>
      <c r="AL406" s="49"/>
      <c r="AM406" s="49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49"/>
      <c r="AZ406" s="49"/>
      <c r="BA406" s="49"/>
      <c r="BB406" s="49"/>
      <c r="BC406" s="49"/>
      <c r="BD406" s="49"/>
      <c r="BE406" s="49"/>
      <c r="BF406" s="49"/>
      <c r="BG406" s="49"/>
      <c r="BH406" s="49"/>
      <c r="BI406" s="49"/>
      <c r="BJ406" s="49"/>
      <c r="BK406" s="49"/>
      <c r="BL406" s="49"/>
      <c r="BM406" s="49"/>
      <c r="BN406" s="49"/>
      <c r="BO406" s="49"/>
      <c r="BP406" s="49"/>
      <c r="BQ406" s="49"/>
      <c r="BR406" s="49"/>
      <c r="BS406" s="49"/>
      <c r="BT406" s="49"/>
      <c r="BU406" s="49"/>
      <c r="BV406" s="49"/>
      <c r="BW406" s="49"/>
      <c r="BX406" s="49"/>
      <c r="BY406" s="49"/>
      <c r="BZ406" s="49"/>
      <c r="CA406" s="49"/>
      <c r="CB406" s="49"/>
      <c r="CC406" s="49"/>
      <c r="CD406" s="49"/>
      <c r="CE406" s="49"/>
      <c r="CF406" s="49"/>
      <c r="CG406" s="49"/>
      <c r="CH406" s="49"/>
      <c r="CI406" s="49"/>
      <c r="CJ406" s="49"/>
      <c r="CK406" s="49"/>
      <c r="CL406" s="49"/>
      <c r="CM406" s="49"/>
      <c r="CN406" s="49"/>
      <c r="CO406" s="49"/>
      <c r="CP406" s="49"/>
      <c r="CQ406" s="49"/>
      <c r="CR406" s="49"/>
      <c r="CS406" s="49"/>
      <c r="CT406" s="49"/>
      <c r="CU406" s="49"/>
      <c r="CV406" s="49"/>
      <c r="CW406" s="49"/>
      <c r="CX406" s="49"/>
      <c r="CY406" s="49"/>
      <c r="CZ406" s="49"/>
    </row>
    <row r="407" spans="2:113" ht="18" customHeight="1" x14ac:dyDescent="0.4">
      <c r="B407" s="27">
        <f t="shared" si="25"/>
        <v>396</v>
      </c>
      <c r="C407" s="28"/>
      <c r="D407" s="28"/>
      <c r="E407" s="29"/>
      <c r="F407" s="30"/>
      <c r="G407" s="31"/>
      <c r="H407" s="45"/>
      <c r="I407" s="32" t="str">
        <f t="shared" si="26"/>
        <v/>
      </c>
      <c r="J407" s="33"/>
      <c r="K407" s="33"/>
      <c r="L407" s="46"/>
      <c r="M407" s="46"/>
      <c r="N407" s="36"/>
      <c r="O407" s="36"/>
      <c r="P407" s="36"/>
      <c r="Q407" s="36"/>
      <c r="R407" s="38"/>
      <c r="S407" s="38"/>
      <c r="T407" s="38"/>
      <c r="U407" s="38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7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8"/>
      <c r="CZ407" s="38"/>
      <c r="DA407" s="13"/>
      <c r="DB407" s="13"/>
      <c r="DC407" s="13"/>
      <c r="DD407" s="13"/>
      <c r="DE407" s="13"/>
      <c r="DF407" s="13"/>
      <c r="DG407" s="13"/>
      <c r="DH407" s="13"/>
      <c r="DI407" s="13"/>
    </row>
    <row r="408" spans="2:113" ht="18" customHeight="1" x14ac:dyDescent="0.4">
      <c r="B408" s="27">
        <f t="shared" si="25"/>
        <v>397</v>
      </c>
      <c r="C408" s="28"/>
      <c r="D408" s="29"/>
      <c r="E408" s="29"/>
      <c r="F408" s="30"/>
      <c r="G408" s="31"/>
      <c r="H408" s="45"/>
      <c r="I408" s="32" t="str">
        <f t="shared" si="26"/>
        <v/>
      </c>
      <c r="J408" s="33"/>
      <c r="K408" s="33"/>
      <c r="L408" s="46"/>
      <c r="M408" s="46"/>
      <c r="N408" s="36"/>
      <c r="O408" s="36"/>
      <c r="P408" s="36"/>
      <c r="Q408" s="36"/>
      <c r="R408" s="38"/>
      <c r="S408" s="38"/>
      <c r="T408" s="38"/>
      <c r="U408" s="38"/>
      <c r="V408" s="55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0"/>
      <c r="BG408" s="50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8"/>
      <c r="CZ408" s="38"/>
      <c r="DA408" s="13"/>
      <c r="DB408" s="13"/>
      <c r="DC408" s="13"/>
      <c r="DD408" s="13"/>
      <c r="DE408" s="13"/>
      <c r="DF408" s="13"/>
      <c r="DG408" s="13"/>
      <c r="DH408" s="13"/>
      <c r="DI408" s="13"/>
    </row>
    <row r="409" spans="2:113" ht="18" customHeight="1" x14ac:dyDescent="0.4">
      <c r="B409" s="27">
        <f t="shared" si="25"/>
        <v>398</v>
      </c>
      <c r="C409" s="28"/>
      <c r="D409" s="29"/>
      <c r="E409" s="29"/>
      <c r="F409" s="30"/>
      <c r="G409" s="31"/>
      <c r="H409" s="45"/>
      <c r="I409" s="32" t="str">
        <f t="shared" si="26"/>
        <v/>
      </c>
      <c r="J409" s="33"/>
      <c r="K409" s="33"/>
      <c r="L409" s="46"/>
      <c r="M409" s="46"/>
      <c r="N409" s="36"/>
      <c r="O409" s="36"/>
      <c r="P409" s="36"/>
      <c r="Q409" s="36"/>
      <c r="R409" s="38"/>
      <c r="S409" s="38"/>
      <c r="T409" s="52"/>
      <c r="U409" s="52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  <c r="BE409" s="37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8"/>
      <c r="CZ409" s="38"/>
      <c r="DA409" s="13"/>
      <c r="DB409" s="13"/>
      <c r="DC409" s="13"/>
      <c r="DD409" s="13"/>
      <c r="DE409" s="13"/>
      <c r="DF409" s="13"/>
      <c r="DG409" s="13"/>
      <c r="DH409" s="13"/>
      <c r="DI409" s="13"/>
    </row>
    <row r="410" spans="2:113" ht="18" customHeight="1" x14ac:dyDescent="0.4">
      <c r="B410" s="27">
        <f t="shared" si="25"/>
        <v>399</v>
      </c>
      <c r="C410" s="28"/>
      <c r="D410" s="29"/>
      <c r="E410" s="29"/>
      <c r="F410" s="30"/>
      <c r="G410" s="31"/>
      <c r="H410" s="43"/>
      <c r="I410" s="32" t="str">
        <f t="shared" si="26"/>
        <v/>
      </c>
      <c r="J410" s="33"/>
      <c r="K410" s="33"/>
      <c r="L410" s="57"/>
      <c r="M410" s="57"/>
      <c r="N410" s="47"/>
      <c r="O410" s="36"/>
      <c r="P410" s="36"/>
      <c r="Q410" s="36"/>
      <c r="R410" s="38"/>
      <c r="S410" s="38"/>
      <c r="T410" s="38"/>
      <c r="U410" s="38"/>
      <c r="V410" s="38"/>
      <c r="W410" s="38"/>
      <c r="X410" s="38"/>
      <c r="Y410" s="36"/>
      <c r="Z410" s="36"/>
      <c r="AA410" s="36"/>
      <c r="AB410" s="36"/>
      <c r="AC410" s="36"/>
      <c r="AD410" s="36"/>
      <c r="AE410" s="36"/>
      <c r="AF410" s="36"/>
      <c r="AG410" s="36"/>
      <c r="AH410" s="36"/>
      <c r="AI410" s="36"/>
      <c r="AJ410" s="36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8"/>
      <c r="CZ410" s="38"/>
      <c r="DA410" s="13"/>
      <c r="DB410" s="13"/>
      <c r="DC410" s="13"/>
      <c r="DD410" s="13"/>
      <c r="DE410" s="13"/>
      <c r="DF410" s="13"/>
      <c r="DG410" s="13"/>
      <c r="DH410" s="13"/>
      <c r="DI410" s="13"/>
    </row>
    <row r="411" spans="2:113" ht="18" customHeight="1" x14ac:dyDescent="0.4">
      <c r="B411" s="27">
        <f t="shared" si="25"/>
        <v>400</v>
      </c>
      <c r="C411" s="28"/>
      <c r="D411" s="29"/>
      <c r="E411" s="29"/>
      <c r="F411" s="30"/>
      <c r="G411" s="31"/>
      <c r="H411" s="45"/>
      <c r="I411" s="32" t="str">
        <f t="shared" si="26"/>
        <v/>
      </c>
      <c r="J411" s="33"/>
      <c r="K411" s="33"/>
      <c r="L411" s="46"/>
      <c r="M411" s="46"/>
      <c r="N411" s="48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49"/>
      <c r="AG411" s="49"/>
      <c r="AH411" s="49"/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49"/>
      <c r="AZ411" s="49"/>
      <c r="BA411" s="49"/>
      <c r="BB411" s="49"/>
      <c r="BC411" s="49"/>
      <c r="BD411" s="49"/>
      <c r="BE411" s="49"/>
      <c r="BF411" s="49"/>
      <c r="BG411" s="49"/>
      <c r="BH411" s="49"/>
      <c r="BI411" s="49"/>
      <c r="BJ411" s="49"/>
      <c r="BK411" s="49"/>
      <c r="BL411" s="49"/>
      <c r="BM411" s="49"/>
      <c r="BN411" s="49"/>
      <c r="BO411" s="49"/>
      <c r="BP411" s="49"/>
      <c r="BQ411" s="49"/>
      <c r="BR411" s="49"/>
      <c r="BS411" s="49"/>
      <c r="BT411" s="49"/>
      <c r="BU411" s="49"/>
      <c r="BV411" s="49"/>
      <c r="BW411" s="49"/>
      <c r="BX411" s="49"/>
      <c r="BY411" s="49"/>
      <c r="BZ411" s="49"/>
      <c r="CA411" s="49"/>
      <c r="CB411" s="49"/>
      <c r="CC411" s="49"/>
      <c r="CD411" s="49"/>
      <c r="CE411" s="49"/>
      <c r="CF411" s="49"/>
      <c r="CG411" s="49"/>
      <c r="CH411" s="49"/>
      <c r="CI411" s="49"/>
      <c r="CJ411" s="49"/>
      <c r="CK411" s="49"/>
      <c r="CL411" s="49"/>
      <c r="CM411" s="49"/>
      <c r="CN411" s="49"/>
      <c r="CO411" s="49"/>
      <c r="CP411" s="49"/>
      <c r="CQ411" s="49"/>
      <c r="CR411" s="49"/>
      <c r="CS411" s="49"/>
      <c r="CT411" s="49"/>
      <c r="CU411" s="49"/>
      <c r="CV411" s="49"/>
      <c r="CW411" s="49"/>
      <c r="CX411" s="49"/>
      <c r="CY411" s="49"/>
      <c r="CZ411" s="49"/>
    </row>
    <row r="412" spans="2:113" ht="18" customHeight="1" x14ac:dyDescent="0.4">
      <c r="B412" s="27">
        <f>ROW()-11</f>
        <v>401</v>
      </c>
      <c r="C412" s="28"/>
      <c r="D412" s="28"/>
      <c r="E412" s="29"/>
      <c r="F412" s="30"/>
      <c r="G412" s="31"/>
      <c r="H412" s="31"/>
      <c r="I412" s="32" t="str">
        <f t="shared" si="26"/>
        <v/>
      </c>
      <c r="J412" s="33"/>
      <c r="K412" s="33"/>
      <c r="L412" s="34"/>
      <c r="M412" s="34"/>
      <c r="N412" s="35"/>
      <c r="O412" s="35"/>
      <c r="P412" s="35"/>
      <c r="Q412" s="35"/>
      <c r="R412" s="36"/>
      <c r="S412" s="36"/>
      <c r="T412" s="36"/>
      <c r="U412" s="36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8"/>
      <c r="CZ412" s="38"/>
      <c r="DA412" s="13"/>
      <c r="DB412" s="13"/>
      <c r="DC412" s="13"/>
      <c r="DD412" s="13"/>
      <c r="DE412" s="13"/>
      <c r="DF412" s="13"/>
      <c r="DG412" s="13"/>
      <c r="DH412" s="13"/>
      <c r="DI412" s="13"/>
    </row>
    <row r="413" spans="2:113" ht="18" customHeight="1" x14ac:dyDescent="0.4">
      <c r="B413" s="27">
        <f t="shared" ref="B413:B461" si="27">ROW()-11</f>
        <v>402</v>
      </c>
      <c r="C413" s="28"/>
      <c r="D413" s="28"/>
      <c r="E413" s="29"/>
      <c r="F413" s="30"/>
      <c r="G413" s="31"/>
      <c r="H413" s="39"/>
      <c r="I413" s="32" t="str">
        <f t="shared" si="26"/>
        <v/>
      </c>
      <c r="J413" s="33"/>
      <c r="K413" s="33"/>
      <c r="L413" s="40"/>
      <c r="M413" s="40"/>
      <c r="N413" s="36"/>
      <c r="O413" s="41"/>
      <c r="P413" s="41"/>
      <c r="Q413" s="41"/>
      <c r="R413" s="38"/>
      <c r="S413" s="38"/>
      <c r="T413" s="38"/>
      <c r="U413" s="38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8"/>
      <c r="CZ413" s="38"/>
      <c r="DA413" s="13"/>
      <c r="DB413" s="13"/>
      <c r="DC413" s="13"/>
      <c r="DD413" s="13"/>
      <c r="DE413" s="13"/>
      <c r="DF413" s="13"/>
      <c r="DG413" s="13"/>
      <c r="DH413" s="13"/>
      <c r="DI413" s="13"/>
    </row>
    <row r="414" spans="2:113" ht="18" customHeight="1" x14ac:dyDescent="0.4">
      <c r="B414" s="27">
        <f t="shared" si="27"/>
        <v>403</v>
      </c>
      <c r="C414" s="28"/>
      <c r="D414" s="28"/>
      <c r="E414" s="29"/>
      <c r="F414" s="30"/>
      <c r="G414" s="31"/>
      <c r="H414" s="43"/>
      <c r="I414" s="32" t="str">
        <f t="shared" si="26"/>
        <v/>
      </c>
      <c r="J414" s="33"/>
      <c r="K414" s="33"/>
      <c r="L414" s="40"/>
      <c r="M414" s="40"/>
      <c r="N414" s="44"/>
      <c r="O414" s="36"/>
      <c r="P414" s="36"/>
      <c r="Q414" s="36"/>
      <c r="R414" s="38"/>
      <c r="S414" s="38"/>
      <c r="T414" s="38"/>
      <c r="U414" s="38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8"/>
      <c r="CZ414" s="38"/>
      <c r="DA414" s="13"/>
      <c r="DB414" s="13"/>
      <c r="DC414" s="13"/>
      <c r="DD414" s="13"/>
      <c r="DE414" s="13"/>
      <c r="DF414" s="13"/>
      <c r="DG414" s="13"/>
      <c r="DH414" s="13"/>
      <c r="DI414" s="13"/>
    </row>
    <row r="415" spans="2:113" ht="18" customHeight="1" x14ac:dyDescent="0.4">
      <c r="B415" s="27">
        <f t="shared" si="27"/>
        <v>404</v>
      </c>
      <c r="C415" s="28"/>
      <c r="D415" s="29"/>
      <c r="E415" s="29"/>
      <c r="F415" s="30"/>
      <c r="G415" s="31"/>
      <c r="H415" s="45"/>
      <c r="I415" s="32" t="str">
        <f t="shared" si="26"/>
        <v/>
      </c>
      <c r="J415" s="33"/>
      <c r="K415" s="33"/>
      <c r="L415" s="46"/>
      <c r="M415" s="46"/>
      <c r="N415" s="44"/>
      <c r="O415" s="36"/>
      <c r="P415" s="36"/>
      <c r="Q415" s="36"/>
      <c r="R415" s="38"/>
      <c r="S415" s="38"/>
      <c r="T415" s="38"/>
      <c r="U415" s="38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8"/>
      <c r="CZ415" s="38"/>
      <c r="DA415" s="13"/>
      <c r="DB415" s="13"/>
      <c r="DC415" s="13"/>
      <c r="DD415" s="13"/>
      <c r="DE415" s="13"/>
      <c r="DF415" s="13"/>
      <c r="DG415" s="13"/>
      <c r="DH415" s="13"/>
      <c r="DI415" s="13"/>
    </row>
    <row r="416" spans="2:113" ht="18" customHeight="1" x14ac:dyDescent="0.4">
      <c r="B416" s="27">
        <f t="shared" si="27"/>
        <v>405</v>
      </c>
      <c r="C416" s="28"/>
      <c r="D416" s="28"/>
      <c r="E416" s="29"/>
      <c r="F416" s="30"/>
      <c r="G416" s="31"/>
      <c r="H416" s="39"/>
      <c r="I416" s="32" t="str">
        <f t="shared" si="26"/>
        <v/>
      </c>
      <c r="J416" s="33"/>
      <c r="K416" s="33"/>
      <c r="L416" s="34"/>
      <c r="M416" s="34"/>
      <c r="N416" s="47"/>
      <c r="O416" s="36"/>
      <c r="P416" s="36"/>
      <c r="Q416" s="36"/>
      <c r="R416" s="38"/>
      <c r="S416" s="38"/>
      <c r="T416" s="38"/>
      <c r="U416" s="38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7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8"/>
      <c r="CZ416" s="38"/>
      <c r="DA416" s="13"/>
      <c r="DB416" s="13"/>
      <c r="DC416" s="13"/>
      <c r="DD416" s="13"/>
      <c r="DE416" s="13"/>
      <c r="DF416" s="13"/>
      <c r="DG416" s="13"/>
      <c r="DH416" s="13"/>
      <c r="DI416" s="13"/>
    </row>
    <row r="417" spans="2:113" ht="18" customHeight="1" x14ac:dyDescent="0.4">
      <c r="B417" s="27">
        <f t="shared" si="27"/>
        <v>406</v>
      </c>
      <c r="C417" s="28"/>
      <c r="D417" s="28"/>
      <c r="E417" s="29"/>
      <c r="F417" s="30"/>
      <c r="G417" s="31"/>
      <c r="H417" s="43"/>
      <c r="I417" s="32" t="str">
        <f t="shared" si="26"/>
        <v/>
      </c>
      <c r="J417" s="33"/>
      <c r="K417" s="33"/>
      <c r="L417" s="40"/>
      <c r="M417" s="40"/>
      <c r="N417" s="48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49"/>
      <c r="AG417" s="49"/>
      <c r="AH417" s="49"/>
      <c r="AI417" s="49"/>
      <c r="AJ417" s="49"/>
      <c r="AK417" s="49"/>
      <c r="AL417" s="49"/>
      <c r="AM417" s="49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  <c r="BD417" s="49"/>
      <c r="BE417" s="49"/>
      <c r="BF417" s="49"/>
      <c r="BG417" s="49"/>
      <c r="BH417" s="49"/>
      <c r="BI417" s="49"/>
      <c r="BJ417" s="49"/>
      <c r="BK417" s="49"/>
      <c r="BL417" s="49"/>
      <c r="BM417" s="49"/>
      <c r="BN417" s="49"/>
      <c r="BO417" s="49"/>
      <c r="BP417" s="49"/>
      <c r="BQ417" s="49"/>
      <c r="BR417" s="49"/>
      <c r="BS417" s="49"/>
      <c r="BT417" s="49"/>
      <c r="BU417" s="49"/>
      <c r="BV417" s="49"/>
      <c r="BW417" s="49"/>
      <c r="BX417" s="49"/>
      <c r="BY417" s="49"/>
      <c r="BZ417" s="49"/>
      <c r="CA417" s="49"/>
      <c r="CB417" s="49"/>
      <c r="CC417" s="49"/>
      <c r="CD417" s="49"/>
      <c r="CE417" s="49"/>
      <c r="CF417" s="49"/>
      <c r="CG417" s="49"/>
      <c r="CH417" s="49"/>
      <c r="CI417" s="49"/>
      <c r="CJ417" s="49"/>
      <c r="CK417" s="49"/>
      <c r="CL417" s="49"/>
      <c r="CM417" s="49"/>
      <c r="CN417" s="49"/>
      <c r="CO417" s="49"/>
      <c r="CP417" s="49"/>
      <c r="CQ417" s="49"/>
      <c r="CR417" s="49"/>
      <c r="CS417" s="49"/>
      <c r="CT417" s="49"/>
      <c r="CU417" s="49"/>
      <c r="CV417" s="49"/>
      <c r="CW417" s="49"/>
      <c r="CX417" s="49"/>
      <c r="CY417" s="49"/>
      <c r="CZ417" s="49"/>
    </row>
    <row r="418" spans="2:113" ht="18" customHeight="1" x14ac:dyDescent="0.4">
      <c r="B418" s="27">
        <f t="shared" si="27"/>
        <v>407</v>
      </c>
      <c r="C418" s="28"/>
      <c r="D418" s="29"/>
      <c r="E418" s="29"/>
      <c r="F418" s="30"/>
      <c r="G418" s="31"/>
      <c r="H418" s="43"/>
      <c r="I418" s="32" t="str">
        <f t="shared" si="26"/>
        <v/>
      </c>
      <c r="J418" s="33"/>
      <c r="K418" s="33"/>
      <c r="L418" s="40"/>
      <c r="M418" s="40"/>
      <c r="N418" s="48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49"/>
      <c r="AM418" s="49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  <c r="BD418" s="49"/>
      <c r="BE418" s="49"/>
      <c r="BF418" s="49"/>
      <c r="BG418" s="49"/>
      <c r="BH418" s="49"/>
      <c r="BI418" s="49"/>
      <c r="BJ418" s="49"/>
      <c r="BK418" s="49"/>
      <c r="BL418" s="49"/>
      <c r="BM418" s="49"/>
      <c r="BN418" s="49"/>
      <c r="BO418" s="49"/>
      <c r="BP418" s="49"/>
      <c r="BQ418" s="49"/>
      <c r="BR418" s="49"/>
      <c r="BS418" s="49"/>
      <c r="BT418" s="49"/>
      <c r="BU418" s="49"/>
      <c r="BV418" s="49"/>
      <c r="BW418" s="49"/>
      <c r="BX418" s="49"/>
      <c r="BY418" s="49"/>
      <c r="BZ418" s="49"/>
      <c r="CA418" s="49"/>
      <c r="CB418" s="49"/>
      <c r="CC418" s="49"/>
      <c r="CD418" s="49"/>
      <c r="CE418" s="49"/>
      <c r="CF418" s="49"/>
      <c r="CG418" s="49"/>
      <c r="CH418" s="49"/>
      <c r="CI418" s="49"/>
      <c r="CJ418" s="49"/>
      <c r="CK418" s="49"/>
      <c r="CL418" s="49"/>
      <c r="CM418" s="49"/>
      <c r="CN418" s="49"/>
      <c r="CO418" s="49"/>
      <c r="CP418" s="49"/>
      <c r="CQ418" s="49"/>
      <c r="CR418" s="49"/>
      <c r="CS418" s="49"/>
      <c r="CT418" s="49"/>
      <c r="CU418" s="49"/>
      <c r="CV418" s="49"/>
      <c r="CW418" s="49"/>
      <c r="CX418" s="49"/>
      <c r="CY418" s="49"/>
      <c r="CZ418" s="49"/>
    </row>
    <row r="419" spans="2:113" ht="18" customHeight="1" x14ac:dyDescent="0.4">
      <c r="B419" s="27">
        <f t="shared" si="27"/>
        <v>408</v>
      </c>
      <c r="C419" s="28"/>
      <c r="D419" s="29"/>
      <c r="E419" s="29"/>
      <c r="F419" s="30"/>
      <c r="G419" s="31"/>
      <c r="H419" s="39"/>
      <c r="I419" s="32" t="str">
        <f t="shared" si="26"/>
        <v/>
      </c>
      <c r="J419" s="33"/>
      <c r="K419" s="33"/>
      <c r="L419" s="40"/>
      <c r="M419" s="40"/>
      <c r="N419" s="36"/>
      <c r="O419" s="36"/>
      <c r="P419" s="36"/>
      <c r="Q419" s="36"/>
      <c r="R419" s="38"/>
      <c r="S419" s="38"/>
      <c r="T419" s="38"/>
      <c r="U419" s="38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  <c r="BE419" s="37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8"/>
      <c r="CZ419" s="38"/>
      <c r="DA419" s="13"/>
      <c r="DB419" s="13"/>
      <c r="DC419" s="13"/>
      <c r="DD419" s="13"/>
      <c r="DE419" s="13"/>
      <c r="DF419" s="13"/>
      <c r="DG419" s="13"/>
      <c r="DH419" s="13"/>
      <c r="DI419" s="13"/>
    </row>
    <row r="420" spans="2:113" ht="18" customHeight="1" x14ac:dyDescent="0.4">
      <c r="B420" s="27">
        <f t="shared" si="27"/>
        <v>409</v>
      </c>
      <c r="C420" s="28"/>
      <c r="D420" s="29"/>
      <c r="E420" s="29"/>
      <c r="F420" s="30"/>
      <c r="G420" s="31"/>
      <c r="H420" s="43"/>
      <c r="I420" s="32" t="str">
        <f t="shared" si="26"/>
        <v/>
      </c>
      <c r="J420" s="33"/>
      <c r="K420" s="33"/>
      <c r="L420" s="40"/>
      <c r="M420" s="40"/>
      <c r="N420" s="44"/>
      <c r="O420" s="36"/>
      <c r="P420" s="36"/>
      <c r="Q420" s="36"/>
      <c r="R420" s="36"/>
      <c r="S420" s="36"/>
      <c r="T420" s="38"/>
      <c r="U420" s="38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8"/>
      <c r="CZ420" s="38"/>
      <c r="DA420" s="13"/>
      <c r="DB420" s="13"/>
      <c r="DC420" s="13"/>
      <c r="DD420" s="13"/>
      <c r="DE420" s="13"/>
      <c r="DF420" s="13"/>
      <c r="DG420" s="13"/>
      <c r="DH420" s="13"/>
      <c r="DI420" s="13"/>
    </row>
    <row r="421" spans="2:113" ht="18" customHeight="1" x14ac:dyDescent="0.4">
      <c r="B421" s="27">
        <f t="shared" si="27"/>
        <v>410</v>
      </c>
      <c r="C421" s="28"/>
      <c r="D421" s="28"/>
      <c r="E421" s="29"/>
      <c r="F421" s="30"/>
      <c r="G421" s="31"/>
      <c r="H421" s="39"/>
      <c r="I421" s="32" t="str">
        <f t="shared" si="26"/>
        <v/>
      </c>
      <c r="J421" s="33"/>
      <c r="K421" s="33"/>
      <c r="L421" s="40"/>
      <c r="M421" s="40"/>
      <c r="N421" s="41"/>
      <c r="O421" s="36"/>
      <c r="P421" s="36"/>
      <c r="Q421" s="41"/>
      <c r="R421" s="38"/>
      <c r="S421" s="38"/>
      <c r="T421" s="38"/>
      <c r="U421" s="38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  <c r="BE421" s="37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8"/>
      <c r="CZ421" s="38"/>
      <c r="DA421" s="13"/>
      <c r="DB421" s="13"/>
      <c r="DC421" s="13"/>
      <c r="DD421" s="13"/>
      <c r="DE421" s="13"/>
      <c r="DF421" s="13"/>
      <c r="DG421" s="13"/>
      <c r="DH421" s="13"/>
      <c r="DI421" s="13"/>
    </row>
    <row r="422" spans="2:113" ht="18" customHeight="1" x14ac:dyDescent="0.4">
      <c r="B422" s="27">
        <f t="shared" si="27"/>
        <v>411</v>
      </c>
      <c r="C422" s="28"/>
      <c r="D422" s="28"/>
      <c r="E422" s="29"/>
      <c r="F422" s="30"/>
      <c r="G422" s="31"/>
      <c r="H422" s="39"/>
      <c r="I422" s="32" t="str">
        <f t="shared" si="26"/>
        <v/>
      </c>
      <c r="J422" s="33"/>
      <c r="K422" s="33"/>
      <c r="L422" s="40"/>
      <c r="M422" s="40"/>
      <c r="N422" s="36"/>
      <c r="O422" s="36"/>
      <c r="P422" s="36"/>
      <c r="Q422" s="36"/>
      <c r="R422" s="38"/>
      <c r="S422" s="38"/>
      <c r="T422" s="38"/>
      <c r="U422" s="38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6"/>
      <c r="BG422" s="36"/>
      <c r="BH422" s="36"/>
      <c r="BI422" s="36"/>
      <c r="BJ422" s="50"/>
      <c r="BK422" s="50"/>
      <c r="BL422" s="50"/>
      <c r="BM422" s="50"/>
      <c r="BN422" s="50"/>
      <c r="BO422" s="36"/>
      <c r="BP422" s="36"/>
      <c r="BQ422" s="39"/>
      <c r="BR422" s="39"/>
      <c r="BS422" s="39"/>
      <c r="BT422" s="39"/>
      <c r="BU422" s="39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8"/>
      <c r="CZ422" s="38"/>
      <c r="DA422" s="13"/>
      <c r="DB422" s="13"/>
      <c r="DC422" s="13"/>
      <c r="DD422" s="13"/>
      <c r="DE422" s="13"/>
      <c r="DF422" s="13"/>
      <c r="DG422" s="13"/>
      <c r="DH422" s="13"/>
      <c r="DI422" s="13"/>
    </row>
    <row r="423" spans="2:113" ht="18" customHeight="1" x14ac:dyDescent="0.4">
      <c r="B423" s="27">
        <f t="shared" si="27"/>
        <v>412</v>
      </c>
      <c r="C423" s="28"/>
      <c r="D423" s="28"/>
      <c r="E423" s="29"/>
      <c r="F423" s="30"/>
      <c r="G423" s="31"/>
      <c r="H423" s="43"/>
      <c r="I423" s="32" t="str">
        <f t="shared" si="26"/>
        <v/>
      </c>
      <c r="J423" s="33"/>
      <c r="K423" s="33"/>
      <c r="L423" s="40"/>
      <c r="M423" s="40"/>
      <c r="N423" s="47"/>
      <c r="O423" s="36"/>
      <c r="P423" s="36"/>
      <c r="Q423" s="36"/>
      <c r="R423" s="38"/>
      <c r="S423" s="38"/>
      <c r="T423" s="38"/>
      <c r="U423" s="38"/>
      <c r="V423" s="42"/>
      <c r="W423" s="42"/>
      <c r="X423" s="42"/>
      <c r="Y423" s="42"/>
      <c r="Z423" s="42"/>
      <c r="AA423" s="37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8"/>
      <c r="CZ423" s="38"/>
      <c r="DA423" s="13"/>
      <c r="DB423" s="13"/>
      <c r="DC423" s="13"/>
      <c r="DD423" s="13"/>
      <c r="DE423" s="13"/>
      <c r="DF423" s="13"/>
      <c r="DG423" s="13"/>
      <c r="DH423" s="13"/>
      <c r="DI423" s="13"/>
    </row>
    <row r="424" spans="2:113" ht="18" customHeight="1" x14ac:dyDescent="0.4">
      <c r="B424" s="27">
        <f t="shared" si="27"/>
        <v>413</v>
      </c>
      <c r="C424" s="28"/>
      <c r="D424" s="29"/>
      <c r="E424" s="29"/>
      <c r="F424" s="30"/>
      <c r="G424" s="31"/>
      <c r="H424" s="39"/>
      <c r="I424" s="32" t="str">
        <f t="shared" si="26"/>
        <v/>
      </c>
      <c r="J424" s="33"/>
      <c r="K424" s="33"/>
      <c r="L424" s="40"/>
      <c r="M424" s="40"/>
      <c r="N424" s="44"/>
      <c r="O424" s="36"/>
      <c r="P424" s="36"/>
      <c r="Q424" s="36"/>
      <c r="R424" s="36"/>
      <c r="S424" s="36"/>
      <c r="T424" s="38"/>
      <c r="U424" s="38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8"/>
      <c r="CZ424" s="38"/>
      <c r="DA424" s="13"/>
      <c r="DB424" s="13"/>
      <c r="DC424" s="13"/>
      <c r="DD424" s="13"/>
      <c r="DE424" s="13"/>
      <c r="DF424" s="13"/>
      <c r="DG424" s="13"/>
      <c r="DH424" s="13"/>
      <c r="DI424" s="13"/>
    </row>
    <row r="425" spans="2:113" ht="18" customHeight="1" x14ac:dyDescent="0.4">
      <c r="B425" s="27">
        <f t="shared" si="27"/>
        <v>414</v>
      </c>
      <c r="C425" s="28"/>
      <c r="D425" s="51"/>
      <c r="E425" s="29"/>
      <c r="F425" s="30"/>
      <c r="G425" s="31"/>
      <c r="H425" s="39"/>
      <c r="I425" s="32" t="str">
        <f t="shared" si="26"/>
        <v/>
      </c>
      <c r="J425" s="33"/>
      <c r="K425" s="33"/>
      <c r="L425" s="34"/>
      <c r="M425" s="34"/>
      <c r="N425" s="48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49"/>
      <c r="AG425" s="49"/>
      <c r="AH425" s="49"/>
      <c r="AI425" s="49"/>
      <c r="AJ425" s="49"/>
      <c r="AK425" s="49"/>
      <c r="AL425" s="49"/>
      <c r="AM425" s="49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49"/>
      <c r="AZ425" s="49"/>
      <c r="BA425" s="49"/>
      <c r="BB425" s="49"/>
      <c r="BC425" s="49"/>
      <c r="BD425" s="49"/>
      <c r="BE425" s="49"/>
      <c r="BF425" s="49"/>
      <c r="BG425" s="49"/>
      <c r="BH425" s="49"/>
      <c r="BI425" s="49"/>
      <c r="BJ425" s="49"/>
      <c r="BK425" s="49"/>
      <c r="BL425" s="49"/>
      <c r="BM425" s="49"/>
      <c r="BN425" s="49"/>
      <c r="BO425" s="49"/>
      <c r="BP425" s="49"/>
      <c r="BQ425" s="49"/>
      <c r="BR425" s="49"/>
      <c r="BS425" s="49"/>
      <c r="BT425" s="49"/>
      <c r="BU425" s="49"/>
      <c r="BV425" s="49"/>
      <c r="BW425" s="49"/>
      <c r="BX425" s="49"/>
      <c r="BY425" s="49"/>
      <c r="BZ425" s="49"/>
      <c r="CA425" s="49"/>
      <c r="CB425" s="49"/>
      <c r="CC425" s="49"/>
      <c r="CD425" s="49"/>
      <c r="CE425" s="49"/>
      <c r="CF425" s="49"/>
      <c r="CG425" s="49"/>
      <c r="CH425" s="49"/>
      <c r="CI425" s="49"/>
      <c r="CJ425" s="49"/>
      <c r="CK425" s="49"/>
      <c r="CL425" s="49"/>
      <c r="CM425" s="49"/>
      <c r="CN425" s="49"/>
      <c r="CO425" s="49"/>
      <c r="CP425" s="49"/>
      <c r="CQ425" s="49"/>
      <c r="CR425" s="49"/>
      <c r="CS425" s="49"/>
      <c r="CT425" s="49"/>
      <c r="CU425" s="49"/>
      <c r="CV425" s="49"/>
      <c r="CW425" s="49"/>
      <c r="CX425" s="49"/>
      <c r="CY425" s="49"/>
      <c r="CZ425" s="49"/>
    </row>
    <row r="426" spans="2:113" ht="18" customHeight="1" x14ac:dyDescent="0.4">
      <c r="B426" s="27">
        <f t="shared" si="27"/>
        <v>415</v>
      </c>
      <c r="C426" s="28"/>
      <c r="D426" s="29"/>
      <c r="E426" s="29"/>
      <c r="F426" s="30"/>
      <c r="G426" s="31"/>
      <c r="H426" s="39"/>
      <c r="I426" s="32" t="str">
        <f t="shared" si="26"/>
        <v/>
      </c>
      <c r="J426" s="33"/>
      <c r="K426" s="33"/>
      <c r="L426" s="34"/>
      <c r="M426" s="34"/>
      <c r="N426" s="36"/>
      <c r="O426" s="36"/>
      <c r="P426" s="36"/>
      <c r="Q426" s="36"/>
      <c r="R426" s="38"/>
      <c r="S426" s="38"/>
      <c r="T426" s="36"/>
      <c r="U426" s="36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8"/>
      <c r="CZ426" s="38"/>
      <c r="DA426" s="13"/>
      <c r="DB426" s="13"/>
      <c r="DC426" s="13"/>
      <c r="DD426" s="13"/>
      <c r="DE426" s="13"/>
      <c r="DF426" s="13"/>
      <c r="DG426" s="13"/>
      <c r="DH426" s="13"/>
      <c r="DI426" s="13"/>
    </row>
    <row r="427" spans="2:113" ht="18" customHeight="1" x14ac:dyDescent="0.4">
      <c r="B427" s="27">
        <f t="shared" si="27"/>
        <v>416</v>
      </c>
      <c r="C427" s="28"/>
      <c r="D427" s="29"/>
      <c r="E427" s="29"/>
      <c r="F427" s="30"/>
      <c r="G427" s="31"/>
      <c r="H427" s="39"/>
      <c r="I427" s="32" t="str">
        <f t="shared" si="26"/>
        <v/>
      </c>
      <c r="J427" s="33"/>
      <c r="K427" s="33"/>
      <c r="L427" s="34"/>
      <c r="M427" s="34"/>
      <c r="N427" s="44"/>
      <c r="O427" s="36"/>
      <c r="P427" s="36"/>
      <c r="Q427" s="36"/>
      <c r="R427" s="38"/>
      <c r="S427" s="38"/>
      <c r="T427" s="38"/>
      <c r="U427" s="38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  <c r="BE427" s="37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8"/>
      <c r="CZ427" s="38"/>
      <c r="DA427" s="13"/>
      <c r="DB427" s="13"/>
      <c r="DC427" s="13"/>
      <c r="DD427" s="13"/>
      <c r="DE427" s="13"/>
      <c r="DF427" s="13"/>
      <c r="DG427" s="13"/>
      <c r="DH427" s="13"/>
      <c r="DI427" s="13"/>
    </row>
    <row r="428" spans="2:113" ht="18" customHeight="1" x14ac:dyDescent="0.4">
      <c r="B428" s="27">
        <f t="shared" si="27"/>
        <v>417</v>
      </c>
      <c r="C428" s="28"/>
      <c r="D428" s="29"/>
      <c r="E428" s="29"/>
      <c r="F428" s="30"/>
      <c r="G428" s="31"/>
      <c r="H428" s="43"/>
      <c r="I428" s="32" t="str">
        <f t="shared" si="26"/>
        <v/>
      </c>
      <c r="J428" s="33"/>
      <c r="K428" s="33"/>
      <c r="L428" s="34"/>
      <c r="M428" s="34"/>
      <c r="N428" s="44"/>
      <c r="O428" s="36"/>
      <c r="P428" s="36"/>
      <c r="Q428" s="36"/>
      <c r="R428" s="36"/>
      <c r="S428" s="36"/>
      <c r="T428" s="38"/>
      <c r="U428" s="38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37"/>
      <c r="AN428" s="37"/>
      <c r="AO428" s="37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8"/>
      <c r="CZ428" s="38"/>
      <c r="DA428" s="13"/>
      <c r="DB428" s="13"/>
      <c r="DC428" s="13"/>
      <c r="DD428" s="13"/>
      <c r="DE428" s="13"/>
      <c r="DF428" s="13"/>
      <c r="DG428" s="13"/>
      <c r="DH428" s="13"/>
      <c r="DI428" s="13"/>
    </row>
    <row r="429" spans="2:113" ht="18" customHeight="1" x14ac:dyDescent="0.4">
      <c r="B429" s="27">
        <f t="shared" si="27"/>
        <v>418</v>
      </c>
      <c r="C429" s="28"/>
      <c r="D429" s="29"/>
      <c r="E429" s="29"/>
      <c r="F429" s="30"/>
      <c r="G429" s="31"/>
      <c r="H429" s="39"/>
      <c r="I429" s="32" t="str">
        <f t="shared" si="26"/>
        <v/>
      </c>
      <c r="J429" s="33"/>
      <c r="K429" s="33"/>
      <c r="L429" s="40"/>
      <c r="M429" s="40"/>
      <c r="N429" s="44"/>
      <c r="O429" s="36"/>
      <c r="P429" s="36"/>
      <c r="Q429" s="36"/>
      <c r="R429" s="36"/>
      <c r="S429" s="36"/>
      <c r="T429" s="38"/>
      <c r="U429" s="38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  <c r="AF429" s="37"/>
      <c r="AG429" s="37"/>
      <c r="AH429" s="37"/>
      <c r="AI429" s="37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  <c r="BE429" s="37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8"/>
      <c r="CZ429" s="38"/>
      <c r="DA429" s="13"/>
      <c r="DB429" s="13"/>
      <c r="DC429" s="13"/>
      <c r="DD429" s="13"/>
      <c r="DE429" s="13"/>
      <c r="DF429" s="13"/>
      <c r="DG429" s="13"/>
      <c r="DH429" s="13"/>
      <c r="DI429" s="13"/>
    </row>
    <row r="430" spans="2:113" ht="18" customHeight="1" x14ac:dyDescent="0.4">
      <c r="B430" s="27">
        <f t="shared" si="27"/>
        <v>419</v>
      </c>
      <c r="C430" s="28"/>
      <c r="D430" s="29"/>
      <c r="E430" s="29"/>
      <c r="F430" s="30"/>
      <c r="G430" s="31"/>
      <c r="H430" s="39"/>
      <c r="I430" s="32" t="str">
        <f t="shared" ref="I430:I493" si="28">IF(G430&gt;0,H430/G430,"")</f>
        <v/>
      </c>
      <c r="J430" s="33"/>
      <c r="K430" s="33"/>
      <c r="L430" s="34"/>
      <c r="M430" s="34"/>
      <c r="N430" s="36"/>
      <c r="O430" s="36"/>
      <c r="P430" s="36"/>
      <c r="Q430" s="36"/>
      <c r="R430" s="38"/>
      <c r="S430" s="38"/>
      <c r="T430" s="36"/>
      <c r="U430" s="36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8"/>
      <c r="CZ430" s="38"/>
      <c r="DA430" s="13"/>
      <c r="DB430" s="13"/>
      <c r="DC430" s="13"/>
      <c r="DD430" s="13"/>
      <c r="DE430" s="13"/>
      <c r="DF430" s="13"/>
      <c r="DG430" s="13"/>
      <c r="DH430" s="13"/>
      <c r="DI430" s="13"/>
    </row>
    <row r="431" spans="2:113" ht="18" customHeight="1" x14ac:dyDescent="0.4">
      <c r="B431" s="27">
        <f t="shared" si="27"/>
        <v>420</v>
      </c>
      <c r="C431" s="28"/>
      <c r="D431" s="28"/>
      <c r="E431" s="29"/>
      <c r="F431" s="30"/>
      <c r="G431" s="31"/>
      <c r="H431" s="39"/>
      <c r="I431" s="32" t="str">
        <f t="shared" si="28"/>
        <v/>
      </c>
      <c r="J431" s="33"/>
      <c r="K431" s="33"/>
      <c r="L431" s="40"/>
      <c r="M431" s="40"/>
      <c r="N431" s="36"/>
      <c r="O431" s="36"/>
      <c r="P431" s="36"/>
      <c r="Q431" s="36"/>
      <c r="R431" s="38"/>
      <c r="S431" s="38"/>
      <c r="T431" s="36"/>
      <c r="U431" s="36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8"/>
      <c r="CZ431" s="38"/>
      <c r="DA431" s="13"/>
      <c r="DB431" s="13"/>
      <c r="DC431" s="13"/>
      <c r="DD431" s="13"/>
      <c r="DE431" s="13"/>
      <c r="DF431" s="13"/>
      <c r="DG431" s="13"/>
      <c r="DH431" s="13"/>
      <c r="DI431" s="13"/>
    </row>
    <row r="432" spans="2:113" ht="18" customHeight="1" x14ac:dyDescent="0.4">
      <c r="B432" s="27">
        <f t="shared" si="27"/>
        <v>421</v>
      </c>
      <c r="C432" s="28"/>
      <c r="D432" s="29"/>
      <c r="E432" s="29"/>
      <c r="F432" s="30"/>
      <c r="G432" s="31"/>
      <c r="H432" s="39"/>
      <c r="I432" s="32" t="str">
        <f t="shared" si="28"/>
        <v/>
      </c>
      <c r="J432" s="33"/>
      <c r="K432" s="33"/>
      <c r="L432" s="40"/>
      <c r="M432" s="40"/>
      <c r="N432" s="36"/>
      <c r="O432" s="36"/>
      <c r="P432" s="36"/>
      <c r="Q432" s="36"/>
      <c r="R432" s="38"/>
      <c r="S432" s="38"/>
      <c r="T432" s="36"/>
      <c r="U432" s="36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8"/>
      <c r="CZ432" s="38"/>
      <c r="DA432" s="13"/>
      <c r="DB432" s="13"/>
      <c r="DC432" s="13"/>
      <c r="DD432" s="13"/>
      <c r="DE432" s="13"/>
      <c r="DF432" s="13"/>
      <c r="DG432" s="13"/>
      <c r="DH432" s="13"/>
      <c r="DI432" s="13"/>
    </row>
    <row r="433" spans="2:113" ht="18" customHeight="1" x14ac:dyDescent="0.4">
      <c r="B433" s="27">
        <f t="shared" si="27"/>
        <v>422</v>
      </c>
      <c r="C433" s="28"/>
      <c r="D433" s="29"/>
      <c r="E433" s="29"/>
      <c r="F433" s="30"/>
      <c r="G433" s="31"/>
      <c r="H433" s="39"/>
      <c r="I433" s="32" t="str">
        <f t="shared" si="28"/>
        <v/>
      </c>
      <c r="J433" s="33"/>
      <c r="K433" s="33"/>
      <c r="L433" s="40"/>
      <c r="M433" s="40"/>
      <c r="N433" s="36"/>
      <c r="O433" s="36"/>
      <c r="P433" s="36"/>
      <c r="Q433" s="36"/>
      <c r="R433" s="38"/>
      <c r="S433" s="38"/>
      <c r="T433" s="36"/>
      <c r="U433" s="36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8"/>
      <c r="CZ433" s="38"/>
      <c r="DA433" s="13"/>
      <c r="DB433" s="13"/>
      <c r="DC433" s="13"/>
      <c r="DD433" s="13"/>
      <c r="DE433" s="13"/>
      <c r="DF433" s="13"/>
      <c r="DG433" s="13"/>
      <c r="DH433" s="13"/>
      <c r="DI433" s="13"/>
    </row>
    <row r="434" spans="2:113" ht="18" customHeight="1" x14ac:dyDescent="0.4">
      <c r="B434" s="27">
        <f t="shared" si="27"/>
        <v>423</v>
      </c>
      <c r="C434" s="28"/>
      <c r="D434" s="29"/>
      <c r="E434" s="29"/>
      <c r="F434" s="30"/>
      <c r="G434" s="31"/>
      <c r="H434" s="39"/>
      <c r="I434" s="32" t="str">
        <f t="shared" si="28"/>
        <v/>
      </c>
      <c r="J434" s="33"/>
      <c r="K434" s="33"/>
      <c r="L434" s="34"/>
      <c r="M434" s="34"/>
      <c r="N434" s="36"/>
      <c r="O434" s="36"/>
      <c r="P434" s="36"/>
      <c r="Q434" s="36"/>
      <c r="R434" s="38"/>
      <c r="S434" s="38"/>
      <c r="T434" s="38"/>
      <c r="U434" s="38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  <c r="AF434" s="37"/>
      <c r="AG434" s="37"/>
      <c r="AH434" s="37"/>
      <c r="AI434" s="37"/>
      <c r="AJ434" s="37"/>
      <c r="AK434" s="37"/>
      <c r="AL434" s="37"/>
      <c r="AM434" s="37"/>
      <c r="AN434" s="37"/>
      <c r="AO434" s="37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50"/>
      <c r="BY434" s="50"/>
      <c r="BZ434" s="50"/>
      <c r="CA434" s="50"/>
      <c r="CB434" s="50"/>
      <c r="CC434" s="36"/>
      <c r="CD434" s="36"/>
      <c r="CE434" s="50"/>
      <c r="CF434" s="50"/>
      <c r="CG434" s="50"/>
      <c r="CH434" s="50"/>
      <c r="CI434" s="50"/>
      <c r="CJ434" s="36"/>
      <c r="CK434" s="36"/>
      <c r="CL434" s="50"/>
      <c r="CM434" s="50"/>
      <c r="CN434" s="50"/>
      <c r="CO434" s="50"/>
      <c r="CP434" s="50"/>
      <c r="CQ434" s="36"/>
      <c r="CR434" s="36"/>
      <c r="CS434" s="39"/>
      <c r="CT434" s="39"/>
      <c r="CU434" s="39"/>
      <c r="CV434" s="39"/>
      <c r="CW434" s="39"/>
      <c r="CX434" s="36"/>
      <c r="CY434" s="38"/>
      <c r="CZ434" s="38"/>
      <c r="DA434" s="13"/>
      <c r="DB434" s="13"/>
      <c r="DC434" s="13"/>
      <c r="DD434" s="13"/>
      <c r="DE434" s="13"/>
      <c r="DF434" s="13"/>
      <c r="DG434" s="13"/>
      <c r="DH434" s="13"/>
      <c r="DI434" s="13"/>
    </row>
    <row r="435" spans="2:113" ht="18" customHeight="1" x14ac:dyDescent="0.4">
      <c r="B435" s="27">
        <f t="shared" si="27"/>
        <v>424</v>
      </c>
      <c r="C435" s="28"/>
      <c r="D435" s="29"/>
      <c r="E435" s="29"/>
      <c r="F435" s="30"/>
      <c r="G435" s="31"/>
      <c r="H435" s="43"/>
      <c r="I435" s="32" t="str">
        <f t="shared" si="28"/>
        <v/>
      </c>
      <c r="J435" s="33"/>
      <c r="K435" s="33"/>
      <c r="L435" s="40"/>
      <c r="M435" s="40"/>
      <c r="N435" s="36"/>
      <c r="O435" s="36"/>
      <c r="P435" s="36"/>
      <c r="Q435" s="36"/>
      <c r="R435" s="38"/>
      <c r="S435" s="38"/>
      <c r="T435" s="38"/>
      <c r="U435" s="38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  <c r="AF435" s="37"/>
      <c r="AG435" s="37"/>
      <c r="AH435" s="37"/>
      <c r="AI435" s="37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50"/>
      <c r="BG435" s="50"/>
      <c r="BH435" s="36"/>
      <c r="BI435" s="36"/>
      <c r="BJ435" s="50"/>
      <c r="BK435" s="50"/>
      <c r="BL435" s="50"/>
      <c r="BM435" s="50"/>
      <c r="BN435" s="50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8"/>
      <c r="CZ435" s="38"/>
      <c r="DA435" s="13"/>
      <c r="DB435" s="13"/>
      <c r="DC435" s="13"/>
      <c r="DD435" s="13"/>
      <c r="DE435" s="13"/>
      <c r="DF435" s="13"/>
      <c r="DG435" s="13"/>
      <c r="DH435" s="13"/>
      <c r="DI435" s="13"/>
    </row>
    <row r="436" spans="2:113" ht="18" customHeight="1" x14ac:dyDescent="0.4">
      <c r="B436" s="27">
        <f t="shared" si="27"/>
        <v>425</v>
      </c>
      <c r="C436" s="28"/>
      <c r="D436" s="29"/>
      <c r="E436" s="29"/>
      <c r="F436" s="30"/>
      <c r="G436" s="31"/>
      <c r="H436" s="39"/>
      <c r="I436" s="32" t="str">
        <f t="shared" si="28"/>
        <v/>
      </c>
      <c r="J436" s="33"/>
      <c r="K436" s="33"/>
      <c r="L436" s="40"/>
      <c r="M436" s="40"/>
      <c r="N436" s="36"/>
      <c r="O436" s="36"/>
      <c r="P436" s="36"/>
      <c r="Q436" s="36"/>
      <c r="R436" s="38"/>
      <c r="S436" s="38"/>
      <c r="T436" s="52"/>
      <c r="U436" s="5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39"/>
      <c r="BG436" s="39"/>
      <c r="BH436" s="36"/>
      <c r="BI436" s="36"/>
      <c r="BJ436" s="39"/>
      <c r="BK436" s="39"/>
      <c r="BL436" s="39"/>
      <c r="BM436" s="39"/>
      <c r="BN436" s="39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8"/>
      <c r="CZ436" s="38"/>
      <c r="DA436" s="13"/>
      <c r="DB436" s="13"/>
      <c r="DC436" s="13"/>
      <c r="DD436" s="13"/>
      <c r="DE436" s="13"/>
      <c r="DF436" s="13"/>
      <c r="DG436" s="13"/>
      <c r="DH436" s="13"/>
      <c r="DI436" s="13"/>
    </row>
    <row r="437" spans="2:113" ht="18" customHeight="1" x14ac:dyDescent="0.4">
      <c r="B437" s="27">
        <f t="shared" si="27"/>
        <v>426</v>
      </c>
      <c r="C437" s="28"/>
      <c r="D437" s="28"/>
      <c r="E437" s="29"/>
      <c r="F437" s="30"/>
      <c r="G437" s="31"/>
      <c r="H437" s="43"/>
      <c r="I437" s="32" t="str">
        <f t="shared" si="28"/>
        <v/>
      </c>
      <c r="J437" s="33"/>
      <c r="K437" s="33"/>
      <c r="L437" s="34"/>
      <c r="M437" s="34"/>
      <c r="N437" s="44"/>
      <c r="O437" s="36"/>
      <c r="P437" s="36"/>
      <c r="Q437" s="36"/>
      <c r="R437" s="36"/>
      <c r="S437" s="36"/>
      <c r="T437" s="38"/>
      <c r="U437" s="38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8"/>
      <c r="CZ437" s="38"/>
      <c r="DA437" s="13"/>
      <c r="DB437" s="13"/>
      <c r="DC437" s="13"/>
      <c r="DD437" s="13"/>
      <c r="DE437" s="13"/>
      <c r="DF437" s="13"/>
      <c r="DG437" s="13"/>
      <c r="DH437" s="13"/>
      <c r="DI437" s="13"/>
    </row>
    <row r="438" spans="2:113" ht="18" customHeight="1" x14ac:dyDescent="0.4">
      <c r="B438" s="27">
        <f t="shared" si="27"/>
        <v>427</v>
      </c>
      <c r="C438" s="28"/>
      <c r="D438" s="29"/>
      <c r="E438" s="29"/>
      <c r="F438" s="30"/>
      <c r="G438" s="31"/>
      <c r="H438" s="45"/>
      <c r="I438" s="32" t="str">
        <f t="shared" si="28"/>
        <v/>
      </c>
      <c r="J438" s="33"/>
      <c r="K438" s="33"/>
      <c r="L438" s="46"/>
      <c r="M438" s="46"/>
      <c r="N438" s="36"/>
      <c r="O438" s="36"/>
      <c r="P438" s="36"/>
      <c r="Q438" s="36"/>
      <c r="R438" s="38"/>
      <c r="S438" s="38"/>
      <c r="T438" s="52"/>
      <c r="U438" s="5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8"/>
      <c r="CZ438" s="38"/>
      <c r="DA438" s="13"/>
      <c r="DB438" s="13"/>
      <c r="DC438" s="13"/>
      <c r="DD438" s="13"/>
      <c r="DE438" s="13"/>
      <c r="DF438" s="13"/>
      <c r="DG438" s="13"/>
      <c r="DH438" s="13"/>
      <c r="DI438" s="13"/>
    </row>
    <row r="439" spans="2:113" ht="18" customHeight="1" x14ac:dyDescent="0.4">
      <c r="B439" s="27">
        <f t="shared" si="27"/>
        <v>428</v>
      </c>
      <c r="C439" s="28"/>
      <c r="D439" s="29"/>
      <c r="E439" s="29"/>
      <c r="F439" s="30"/>
      <c r="G439" s="31"/>
      <c r="H439" s="45"/>
      <c r="I439" s="32" t="str">
        <f t="shared" si="28"/>
        <v/>
      </c>
      <c r="J439" s="33"/>
      <c r="K439" s="33"/>
      <c r="L439" s="46"/>
      <c r="M439" s="46"/>
      <c r="N439" s="41"/>
      <c r="O439" s="36"/>
      <c r="P439" s="36"/>
      <c r="Q439" s="41"/>
      <c r="R439" s="38"/>
      <c r="S439" s="38"/>
      <c r="T439" s="38"/>
      <c r="U439" s="38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37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8"/>
      <c r="CZ439" s="38"/>
      <c r="DA439" s="13"/>
      <c r="DB439" s="13"/>
      <c r="DC439" s="13"/>
      <c r="DD439" s="13"/>
      <c r="DE439" s="13"/>
      <c r="DF439" s="13"/>
      <c r="DG439" s="13"/>
      <c r="DH439" s="13"/>
      <c r="DI439" s="13"/>
    </row>
    <row r="440" spans="2:113" ht="18" customHeight="1" x14ac:dyDescent="0.4">
      <c r="B440" s="27">
        <f t="shared" si="27"/>
        <v>429</v>
      </c>
      <c r="C440" s="28"/>
      <c r="D440" s="28"/>
      <c r="E440" s="29"/>
      <c r="F440" s="30"/>
      <c r="G440" s="31"/>
      <c r="H440" s="43"/>
      <c r="I440" s="32" t="str">
        <f t="shared" si="28"/>
        <v/>
      </c>
      <c r="J440" s="33"/>
      <c r="K440" s="33"/>
      <c r="L440" s="34"/>
      <c r="M440" s="34"/>
      <c r="N440" s="36"/>
      <c r="O440" s="36"/>
      <c r="P440" s="36"/>
      <c r="Q440" s="36"/>
      <c r="R440" s="38"/>
      <c r="S440" s="38"/>
      <c r="T440" s="38"/>
      <c r="U440" s="38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  <c r="AF440" s="37"/>
      <c r="AG440" s="37"/>
      <c r="AH440" s="37"/>
      <c r="AI440" s="37"/>
      <c r="AJ440" s="37"/>
      <c r="AK440" s="37"/>
      <c r="AL440" s="37"/>
      <c r="AM440" s="37"/>
      <c r="AN440" s="37"/>
      <c r="AO440" s="37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8"/>
      <c r="CZ440" s="38"/>
      <c r="DA440" s="13"/>
      <c r="DB440" s="13"/>
      <c r="DC440" s="13"/>
      <c r="DD440" s="13"/>
      <c r="DE440" s="13"/>
      <c r="DF440" s="13"/>
      <c r="DG440" s="13"/>
      <c r="DH440" s="13"/>
      <c r="DI440" s="13"/>
    </row>
    <row r="441" spans="2:113" ht="18" customHeight="1" x14ac:dyDescent="0.4">
      <c r="B441" s="27">
        <f t="shared" si="27"/>
        <v>430</v>
      </c>
      <c r="C441" s="28"/>
      <c r="D441" s="28"/>
      <c r="E441" s="29"/>
      <c r="F441" s="30"/>
      <c r="G441" s="31"/>
      <c r="H441" s="39"/>
      <c r="I441" s="32" t="str">
        <f t="shared" si="28"/>
        <v/>
      </c>
      <c r="J441" s="33"/>
      <c r="K441" s="33"/>
      <c r="L441" s="34"/>
      <c r="M441" s="34"/>
      <c r="N441" s="47"/>
      <c r="O441" s="36"/>
      <c r="P441" s="36"/>
      <c r="Q441" s="36"/>
      <c r="R441" s="38"/>
      <c r="S441" s="38"/>
      <c r="T441" s="38"/>
      <c r="U441" s="38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  <c r="AF441" s="37"/>
      <c r="AG441" s="37"/>
      <c r="AH441" s="37"/>
      <c r="AI441" s="37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7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8"/>
      <c r="CZ441" s="38"/>
      <c r="DA441" s="13"/>
      <c r="DB441" s="13"/>
      <c r="DC441" s="13"/>
      <c r="DD441" s="13"/>
      <c r="DE441" s="13"/>
      <c r="DF441" s="13"/>
      <c r="DG441" s="13"/>
      <c r="DH441" s="13"/>
      <c r="DI441" s="13"/>
    </row>
    <row r="442" spans="2:113" ht="18" customHeight="1" x14ac:dyDescent="0.4">
      <c r="B442" s="27">
        <f t="shared" si="27"/>
        <v>431</v>
      </c>
      <c r="C442" s="28"/>
      <c r="D442" s="28"/>
      <c r="E442" s="29"/>
      <c r="F442" s="30"/>
      <c r="G442" s="31"/>
      <c r="H442" s="43"/>
      <c r="I442" s="32" t="str">
        <f t="shared" si="28"/>
        <v/>
      </c>
      <c r="J442" s="33"/>
      <c r="K442" s="33"/>
      <c r="L442" s="34"/>
      <c r="M442" s="34"/>
      <c r="N442" s="36"/>
      <c r="O442" s="36"/>
      <c r="P442" s="36"/>
      <c r="Q442" s="36"/>
      <c r="R442" s="38"/>
      <c r="S442" s="38"/>
      <c r="T442" s="53"/>
      <c r="U442" s="53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  <c r="AF442" s="37"/>
      <c r="AG442" s="37"/>
      <c r="AH442" s="37"/>
      <c r="AI442" s="37"/>
      <c r="AJ442" s="37"/>
      <c r="AK442" s="37"/>
      <c r="AL442" s="37"/>
      <c r="AM442" s="37"/>
      <c r="AN442" s="37"/>
      <c r="AO442" s="37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  <c r="BE442" s="37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8"/>
      <c r="CZ442" s="38"/>
      <c r="DA442" s="13"/>
      <c r="DB442" s="13"/>
      <c r="DC442" s="13"/>
      <c r="DD442" s="13"/>
      <c r="DE442" s="13"/>
      <c r="DF442" s="13"/>
      <c r="DG442" s="13"/>
      <c r="DH442" s="13"/>
      <c r="DI442" s="13"/>
    </row>
    <row r="443" spans="2:113" ht="18" customHeight="1" x14ac:dyDescent="0.4">
      <c r="B443" s="27">
        <f t="shared" si="27"/>
        <v>432</v>
      </c>
      <c r="C443" s="28"/>
      <c r="D443" s="29"/>
      <c r="E443" s="29"/>
      <c r="F443" s="30"/>
      <c r="G443" s="31"/>
      <c r="H443" s="39"/>
      <c r="I443" s="32" t="str">
        <f t="shared" si="28"/>
        <v/>
      </c>
      <c r="J443" s="33"/>
      <c r="K443" s="33"/>
      <c r="L443" s="34"/>
      <c r="M443" s="34"/>
      <c r="N443" s="44"/>
      <c r="O443" s="36"/>
      <c r="P443" s="36"/>
      <c r="Q443" s="36"/>
      <c r="R443" s="38"/>
      <c r="S443" s="38"/>
      <c r="T443" s="38"/>
      <c r="U443" s="38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8"/>
      <c r="CZ443" s="38"/>
      <c r="DA443" s="13"/>
      <c r="DB443" s="13"/>
      <c r="DC443" s="13"/>
      <c r="DD443" s="13"/>
      <c r="DE443" s="13"/>
      <c r="DF443" s="13"/>
      <c r="DG443" s="13"/>
      <c r="DH443" s="13"/>
      <c r="DI443" s="13"/>
    </row>
    <row r="444" spans="2:113" ht="18" customHeight="1" x14ac:dyDescent="0.4">
      <c r="B444" s="27">
        <f t="shared" si="27"/>
        <v>433</v>
      </c>
      <c r="C444" s="28"/>
      <c r="D444" s="29"/>
      <c r="E444" s="29"/>
      <c r="F444" s="30"/>
      <c r="G444" s="31"/>
      <c r="H444" s="43"/>
      <c r="I444" s="32" t="str">
        <f t="shared" si="28"/>
        <v/>
      </c>
      <c r="J444" s="33"/>
      <c r="K444" s="33"/>
      <c r="L444" s="34"/>
      <c r="M444" s="34"/>
      <c r="N444" s="54"/>
      <c r="O444" s="54"/>
      <c r="P444" s="54"/>
      <c r="Q444" s="54"/>
      <c r="R444" s="38"/>
      <c r="S444" s="38"/>
      <c r="T444" s="38"/>
      <c r="U444" s="38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  <c r="AF444" s="37"/>
      <c r="AG444" s="37"/>
      <c r="AH444" s="37"/>
      <c r="AI444" s="37"/>
      <c r="AJ444" s="37"/>
      <c r="AK444" s="37"/>
      <c r="AL444" s="37"/>
      <c r="AM444" s="37"/>
      <c r="AN444" s="37"/>
      <c r="AO444" s="37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7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8"/>
      <c r="CZ444" s="38"/>
      <c r="DA444" s="13"/>
      <c r="DB444" s="13"/>
      <c r="DC444" s="13"/>
      <c r="DD444" s="13"/>
      <c r="DE444" s="13"/>
      <c r="DF444" s="13"/>
      <c r="DG444" s="13"/>
      <c r="DH444" s="13"/>
      <c r="DI444" s="13"/>
    </row>
    <row r="445" spans="2:113" ht="18" customHeight="1" x14ac:dyDescent="0.4">
      <c r="B445" s="27">
        <f t="shared" si="27"/>
        <v>434</v>
      </c>
      <c r="C445" s="28"/>
      <c r="D445" s="29"/>
      <c r="E445" s="29"/>
      <c r="F445" s="30"/>
      <c r="G445" s="31"/>
      <c r="H445" s="43"/>
      <c r="I445" s="32" t="str">
        <f t="shared" si="28"/>
        <v/>
      </c>
      <c r="J445" s="33"/>
      <c r="K445" s="33"/>
      <c r="L445" s="34"/>
      <c r="M445" s="34"/>
      <c r="N445" s="54"/>
      <c r="O445" s="54"/>
      <c r="P445" s="54"/>
      <c r="Q445" s="54"/>
      <c r="R445" s="38"/>
      <c r="S445" s="38"/>
      <c r="T445" s="54"/>
      <c r="U445" s="54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8"/>
      <c r="CZ445" s="38"/>
      <c r="DA445" s="13"/>
      <c r="DB445" s="13"/>
      <c r="DC445" s="13"/>
      <c r="DD445" s="13"/>
      <c r="DE445" s="13"/>
      <c r="DF445" s="13"/>
      <c r="DG445" s="13"/>
      <c r="DH445" s="13"/>
      <c r="DI445" s="13"/>
    </row>
    <row r="446" spans="2:113" ht="18" customHeight="1" x14ac:dyDescent="0.4">
      <c r="B446" s="27">
        <f t="shared" si="27"/>
        <v>435</v>
      </c>
      <c r="C446" s="28"/>
      <c r="D446" s="29"/>
      <c r="E446" s="29"/>
      <c r="F446" s="30"/>
      <c r="G446" s="31"/>
      <c r="H446" s="39"/>
      <c r="I446" s="32" t="str">
        <f t="shared" si="28"/>
        <v/>
      </c>
      <c r="J446" s="33"/>
      <c r="K446" s="33"/>
      <c r="L446" s="40"/>
      <c r="M446" s="40"/>
      <c r="N446" s="44"/>
      <c r="O446" s="36"/>
      <c r="P446" s="36"/>
      <c r="Q446" s="36"/>
      <c r="R446" s="36"/>
      <c r="S446" s="36"/>
      <c r="T446" s="38"/>
      <c r="U446" s="38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  <c r="AF446" s="37"/>
      <c r="AG446" s="37"/>
      <c r="AH446" s="37"/>
      <c r="AI446" s="37"/>
      <c r="AJ446" s="37"/>
      <c r="AK446" s="37"/>
      <c r="AL446" s="37"/>
      <c r="AM446" s="37"/>
      <c r="AN446" s="37"/>
      <c r="AO446" s="37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7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8"/>
      <c r="CZ446" s="38"/>
      <c r="DA446" s="13"/>
      <c r="DB446" s="13"/>
      <c r="DC446" s="13"/>
      <c r="DD446" s="13"/>
      <c r="DE446" s="13"/>
      <c r="DF446" s="13"/>
      <c r="DG446" s="13"/>
      <c r="DH446" s="13"/>
      <c r="DI446" s="13"/>
    </row>
    <row r="447" spans="2:113" ht="18" customHeight="1" x14ac:dyDescent="0.4">
      <c r="B447" s="27">
        <f t="shared" si="27"/>
        <v>436</v>
      </c>
      <c r="C447" s="28"/>
      <c r="D447" s="29"/>
      <c r="E447" s="29"/>
      <c r="F447" s="30"/>
      <c r="G447" s="31"/>
      <c r="H447" s="39"/>
      <c r="I447" s="32" t="str">
        <f t="shared" si="28"/>
        <v/>
      </c>
      <c r="J447" s="33"/>
      <c r="K447" s="33"/>
      <c r="L447" s="40"/>
      <c r="M447" s="40"/>
      <c r="N447" s="36"/>
      <c r="O447" s="36"/>
      <c r="P447" s="36"/>
      <c r="Q447" s="36"/>
      <c r="R447" s="38"/>
      <c r="S447" s="38"/>
      <c r="T447" s="38"/>
      <c r="U447" s="38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  <c r="AG447" s="37"/>
      <c r="AH447" s="37"/>
      <c r="AI447" s="37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  <c r="BE447" s="37"/>
      <c r="BF447" s="50"/>
      <c r="BG447" s="50"/>
      <c r="BH447" s="36"/>
      <c r="BI447" s="36"/>
      <c r="BJ447" s="50"/>
      <c r="BK447" s="50"/>
      <c r="BL447" s="50"/>
      <c r="BM447" s="50"/>
      <c r="BN447" s="50"/>
      <c r="BO447" s="36"/>
      <c r="BP447" s="36"/>
      <c r="BQ447" s="39"/>
      <c r="BR447" s="39"/>
      <c r="BS447" s="39"/>
      <c r="BT447" s="39"/>
      <c r="BU447" s="39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8"/>
      <c r="CZ447" s="38"/>
      <c r="DA447" s="13"/>
      <c r="DB447" s="13"/>
      <c r="DC447" s="13"/>
      <c r="DD447" s="13"/>
      <c r="DE447" s="13"/>
      <c r="DF447" s="13"/>
      <c r="DG447" s="13"/>
      <c r="DH447" s="13"/>
      <c r="DI447" s="13"/>
    </row>
    <row r="448" spans="2:113" ht="18" customHeight="1" x14ac:dyDescent="0.4">
      <c r="B448" s="27">
        <f t="shared" si="27"/>
        <v>437</v>
      </c>
      <c r="C448" s="28"/>
      <c r="D448" s="29"/>
      <c r="E448" s="29"/>
      <c r="F448" s="30"/>
      <c r="G448" s="31"/>
      <c r="H448" s="39"/>
      <c r="I448" s="32" t="str">
        <f t="shared" si="28"/>
        <v/>
      </c>
      <c r="J448" s="33"/>
      <c r="K448" s="33"/>
      <c r="L448" s="40"/>
      <c r="M448" s="40"/>
      <c r="N448" s="36"/>
      <c r="O448" s="41"/>
      <c r="P448" s="41"/>
      <c r="Q448" s="41"/>
      <c r="R448" s="38"/>
      <c r="S448" s="38"/>
      <c r="T448" s="38"/>
      <c r="U448" s="38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  <c r="AF448" s="37"/>
      <c r="AG448" s="37"/>
      <c r="AH448" s="37"/>
      <c r="AI448" s="37"/>
      <c r="AJ448" s="37"/>
      <c r="AK448" s="37"/>
      <c r="AL448" s="37"/>
      <c r="AM448" s="37"/>
      <c r="AN448" s="37"/>
      <c r="AO448" s="37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7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8"/>
      <c r="CZ448" s="38"/>
      <c r="DA448" s="13"/>
      <c r="DB448" s="13"/>
      <c r="DC448" s="13"/>
      <c r="DD448" s="13"/>
      <c r="DE448" s="13"/>
      <c r="DF448" s="13"/>
      <c r="DG448" s="13"/>
      <c r="DH448" s="13"/>
      <c r="DI448" s="13"/>
    </row>
    <row r="449" spans="2:113" ht="18" customHeight="1" x14ac:dyDescent="0.4">
      <c r="B449" s="27">
        <f t="shared" si="27"/>
        <v>438</v>
      </c>
      <c r="C449" s="28"/>
      <c r="D449" s="29"/>
      <c r="E449" s="29"/>
      <c r="F449" s="30"/>
      <c r="G449" s="31"/>
      <c r="H449" s="39"/>
      <c r="I449" s="32" t="str">
        <f t="shared" si="28"/>
        <v/>
      </c>
      <c r="J449" s="33"/>
      <c r="K449" s="33"/>
      <c r="L449" s="34"/>
      <c r="M449" s="34"/>
      <c r="N449" s="36"/>
      <c r="O449" s="36"/>
      <c r="P449" s="36"/>
      <c r="Q449" s="36"/>
      <c r="R449" s="38"/>
      <c r="S449" s="38"/>
      <c r="T449" s="52"/>
      <c r="U449" s="52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  <c r="AF449" s="37"/>
      <c r="AG449" s="37"/>
      <c r="AH449" s="37"/>
      <c r="AI449" s="37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  <c r="BE449" s="37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8"/>
      <c r="CZ449" s="38"/>
      <c r="DA449" s="13"/>
      <c r="DB449" s="13"/>
      <c r="DC449" s="13"/>
      <c r="DD449" s="13"/>
      <c r="DE449" s="13"/>
      <c r="DF449" s="13"/>
      <c r="DG449" s="13"/>
      <c r="DH449" s="13"/>
      <c r="DI449" s="13"/>
    </row>
    <row r="450" spans="2:113" ht="18" customHeight="1" x14ac:dyDescent="0.4">
      <c r="B450" s="27">
        <f t="shared" si="27"/>
        <v>439</v>
      </c>
      <c r="C450" s="28"/>
      <c r="D450" s="29"/>
      <c r="E450" s="29"/>
      <c r="F450" s="30"/>
      <c r="G450" s="31"/>
      <c r="H450" s="39"/>
      <c r="I450" s="32" t="str">
        <f t="shared" si="28"/>
        <v/>
      </c>
      <c r="J450" s="33"/>
      <c r="K450" s="33"/>
      <c r="L450" s="40"/>
      <c r="M450" s="40"/>
      <c r="N450" s="36"/>
      <c r="O450" s="36"/>
      <c r="P450" s="36"/>
      <c r="Q450" s="36"/>
      <c r="R450" s="38"/>
      <c r="S450" s="38"/>
      <c r="T450" s="52"/>
      <c r="U450" s="52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  <c r="AF450" s="37"/>
      <c r="AG450" s="37"/>
      <c r="AH450" s="37"/>
      <c r="AI450" s="37"/>
      <c r="AJ450" s="37"/>
      <c r="AK450" s="37"/>
      <c r="AL450" s="37"/>
      <c r="AM450" s="37"/>
      <c r="AN450" s="37"/>
      <c r="AO450" s="37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7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8"/>
      <c r="CZ450" s="38"/>
      <c r="DA450" s="13"/>
      <c r="DB450" s="13"/>
      <c r="DC450" s="13"/>
      <c r="DD450" s="13"/>
      <c r="DE450" s="13"/>
      <c r="DF450" s="13"/>
      <c r="DG450" s="13"/>
      <c r="DH450" s="13"/>
      <c r="DI450" s="13"/>
    </row>
    <row r="451" spans="2:113" ht="18" customHeight="1" x14ac:dyDescent="0.4">
      <c r="B451" s="27">
        <f t="shared" si="27"/>
        <v>440</v>
      </c>
      <c r="C451" s="28"/>
      <c r="D451" s="29"/>
      <c r="E451" s="29"/>
      <c r="F451" s="30"/>
      <c r="G451" s="31"/>
      <c r="H451" s="39"/>
      <c r="I451" s="32" t="str">
        <f t="shared" si="28"/>
        <v/>
      </c>
      <c r="J451" s="33"/>
      <c r="K451" s="33"/>
      <c r="L451" s="34"/>
      <c r="M451" s="34"/>
      <c r="N451" s="48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49"/>
      <c r="AZ451" s="49"/>
      <c r="BA451" s="49"/>
      <c r="BB451" s="49"/>
      <c r="BC451" s="49"/>
      <c r="BD451" s="49"/>
      <c r="BE451" s="49"/>
      <c r="BF451" s="49"/>
      <c r="BG451" s="49"/>
      <c r="BH451" s="49"/>
      <c r="BI451" s="49"/>
      <c r="BJ451" s="49"/>
      <c r="BK451" s="49"/>
      <c r="BL451" s="49"/>
      <c r="BM451" s="49"/>
      <c r="BN451" s="49"/>
      <c r="BO451" s="49"/>
      <c r="BP451" s="49"/>
      <c r="BQ451" s="49"/>
      <c r="BR451" s="49"/>
      <c r="BS451" s="49"/>
      <c r="BT451" s="49"/>
      <c r="BU451" s="49"/>
      <c r="BV451" s="49"/>
      <c r="BW451" s="49"/>
      <c r="BX451" s="49"/>
      <c r="BY451" s="49"/>
      <c r="BZ451" s="49"/>
      <c r="CA451" s="49"/>
      <c r="CB451" s="49"/>
      <c r="CC451" s="49"/>
      <c r="CD451" s="49"/>
      <c r="CE451" s="49"/>
      <c r="CF451" s="49"/>
      <c r="CG451" s="49"/>
      <c r="CH451" s="49"/>
      <c r="CI451" s="49"/>
      <c r="CJ451" s="49"/>
      <c r="CK451" s="49"/>
      <c r="CL451" s="49"/>
      <c r="CM451" s="49"/>
      <c r="CN451" s="49"/>
      <c r="CO451" s="49"/>
      <c r="CP451" s="49"/>
      <c r="CQ451" s="49"/>
      <c r="CR451" s="49"/>
      <c r="CS451" s="49"/>
      <c r="CT451" s="49"/>
      <c r="CU451" s="49"/>
      <c r="CV451" s="49"/>
      <c r="CW451" s="49"/>
      <c r="CX451" s="49"/>
      <c r="CY451" s="49"/>
      <c r="CZ451" s="49"/>
    </row>
    <row r="452" spans="2:113" ht="18" customHeight="1" x14ac:dyDescent="0.4">
      <c r="B452" s="27">
        <f t="shared" si="27"/>
        <v>441</v>
      </c>
      <c r="C452" s="28"/>
      <c r="D452" s="29"/>
      <c r="E452" s="29"/>
      <c r="F452" s="30"/>
      <c r="G452" s="31"/>
      <c r="H452" s="45"/>
      <c r="I452" s="32" t="str">
        <f t="shared" si="28"/>
        <v/>
      </c>
      <c r="J452" s="33"/>
      <c r="K452" s="33"/>
      <c r="L452" s="46"/>
      <c r="M452" s="46"/>
      <c r="N452" s="48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49"/>
      <c r="AG452" s="49"/>
      <c r="AH452" s="49"/>
      <c r="AI452" s="49"/>
      <c r="AJ452" s="49"/>
      <c r="AK452" s="49"/>
      <c r="AL452" s="49"/>
      <c r="AM452" s="49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49"/>
      <c r="BB452" s="49"/>
      <c r="BC452" s="49"/>
      <c r="BD452" s="49"/>
      <c r="BE452" s="49"/>
      <c r="BF452" s="49"/>
      <c r="BG452" s="49"/>
      <c r="BH452" s="49"/>
      <c r="BI452" s="49"/>
      <c r="BJ452" s="49"/>
      <c r="BK452" s="49"/>
      <c r="BL452" s="49"/>
      <c r="BM452" s="49"/>
      <c r="BN452" s="49"/>
      <c r="BO452" s="49"/>
      <c r="BP452" s="49"/>
      <c r="BQ452" s="49"/>
      <c r="BR452" s="49"/>
      <c r="BS452" s="49"/>
      <c r="BT452" s="49"/>
      <c r="BU452" s="49"/>
      <c r="BV452" s="49"/>
      <c r="BW452" s="49"/>
      <c r="BX452" s="49"/>
      <c r="BY452" s="49"/>
      <c r="BZ452" s="49"/>
      <c r="CA452" s="49"/>
      <c r="CB452" s="49"/>
      <c r="CC452" s="49"/>
      <c r="CD452" s="49"/>
      <c r="CE452" s="49"/>
      <c r="CF452" s="49"/>
      <c r="CG452" s="49"/>
      <c r="CH452" s="49"/>
      <c r="CI452" s="49"/>
      <c r="CJ452" s="49"/>
      <c r="CK452" s="49"/>
      <c r="CL452" s="49"/>
      <c r="CM452" s="49"/>
      <c r="CN452" s="49"/>
      <c r="CO452" s="49"/>
      <c r="CP452" s="49"/>
      <c r="CQ452" s="49"/>
      <c r="CR452" s="49"/>
      <c r="CS452" s="49"/>
      <c r="CT452" s="49"/>
      <c r="CU452" s="49"/>
      <c r="CV452" s="49"/>
      <c r="CW452" s="49"/>
      <c r="CX452" s="49"/>
      <c r="CY452" s="49"/>
      <c r="CZ452" s="49"/>
    </row>
    <row r="453" spans="2:113" ht="18" customHeight="1" x14ac:dyDescent="0.4">
      <c r="B453" s="27">
        <f t="shared" si="27"/>
        <v>442</v>
      </c>
      <c r="C453" s="28"/>
      <c r="D453" s="29"/>
      <c r="E453" s="29"/>
      <c r="F453" s="30"/>
      <c r="G453" s="31"/>
      <c r="H453" s="39"/>
      <c r="I453" s="32" t="str">
        <f t="shared" si="28"/>
        <v/>
      </c>
      <c r="J453" s="33"/>
      <c r="K453" s="33"/>
      <c r="L453" s="40"/>
      <c r="M453" s="40"/>
      <c r="N453" s="44"/>
      <c r="O453" s="36"/>
      <c r="P453" s="36"/>
      <c r="Q453" s="36"/>
      <c r="R453" s="36"/>
      <c r="S453" s="36"/>
      <c r="T453" s="38"/>
      <c r="U453" s="38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  <c r="AF453" s="37"/>
      <c r="AG453" s="37"/>
      <c r="AH453" s="37"/>
      <c r="AI453" s="37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  <c r="BE453" s="37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8"/>
      <c r="CZ453" s="38"/>
      <c r="DA453" s="13"/>
      <c r="DB453" s="13"/>
      <c r="DC453" s="13"/>
      <c r="DD453" s="13"/>
      <c r="DE453" s="13"/>
      <c r="DF453" s="13"/>
      <c r="DG453" s="13"/>
      <c r="DH453" s="13"/>
      <c r="DI453" s="13"/>
    </row>
    <row r="454" spans="2:113" ht="18" customHeight="1" x14ac:dyDescent="0.4">
      <c r="B454" s="27">
        <f t="shared" si="27"/>
        <v>443</v>
      </c>
      <c r="C454" s="28"/>
      <c r="D454" s="28"/>
      <c r="E454" s="29"/>
      <c r="F454" s="30"/>
      <c r="G454" s="31"/>
      <c r="H454" s="39"/>
      <c r="I454" s="32" t="str">
        <f t="shared" si="28"/>
        <v/>
      </c>
      <c r="J454" s="33"/>
      <c r="K454" s="33"/>
      <c r="L454" s="40"/>
      <c r="M454" s="40"/>
      <c r="N454" s="48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49"/>
      <c r="AG454" s="49"/>
      <c r="AH454" s="49"/>
      <c r="AI454" s="49"/>
      <c r="AJ454" s="49"/>
      <c r="AK454" s="49"/>
      <c r="AL454" s="49"/>
      <c r="AM454" s="49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49"/>
      <c r="AZ454" s="49"/>
      <c r="BA454" s="49"/>
      <c r="BB454" s="49"/>
      <c r="BC454" s="49"/>
      <c r="BD454" s="49"/>
      <c r="BE454" s="49"/>
      <c r="BF454" s="49"/>
      <c r="BG454" s="49"/>
      <c r="BH454" s="49"/>
      <c r="BI454" s="49"/>
      <c r="BJ454" s="49"/>
      <c r="BK454" s="49"/>
      <c r="BL454" s="49"/>
      <c r="BM454" s="49"/>
      <c r="BN454" s="49"/>
      <c r="BO454" s="49"/>
      <c r="BP454" s="49"/>
      <c r="BQ454" s="49"/>
      <c r="BR454" s="49"/>
      <c r="BS454" s="49"/>
      <c r="BT454" s="49"/>
      <c r="BU454" s="49"/>
      <c r="BV454" s="49"/>
      <c r="BW454" s="49"/>
      <c r="BX454" s="49"/>
      <c r="BY454" s="49"/>
      <c r="BZ454" s="49"/>
      <c r="CA454" s="49"/>
      <c r="CB454" s="49"/>
      <c r="CC454" s="49"/>
      <c r="CD454" s="49"/>
      <c r="CE454" s="49"/>
      <c r="CF454" s="49"/>
      <c r="CG454" s="49"/>
      <c r="CH454" s="49"/>
      <c r="CI454" s="49"/>
      <c r="CJ454" s="49"/>
      <c r="CK454" s="49"/>
      <c r="CL454" s="49"/>
      <c r="CM454" s="49"/>
      <c r="CN454" s="49"/>
      <c r="CO454" s="49"/>
      <c r="CP454" s="49"/>
      <c r="CQ454" s="49"/>
      <c r="CR454" s="49"/>
      <c r="CS454" s="49"/>
      <c r="CT454" s="49"/>
      <c r="CU454" s="49"/>
      <c r="CV454" s="49"/>
      <c r="CW454" s="49"/>
      <c r="CX454" s="49"/>
      <c r="CY454" s="49"/>
      <c r="CZ454" s="49"/>
    </row>
    <row r="455" spans="2:113" ht="18" customHeight="1" x14ac:dyDescent="0.4">
      <c r="B455" s="27">
        <f t="shared" si="27"/>
        <v>444</v>
      </c>
      <c r="C455" s="28"/>
      <c r="D455" s="28"/>
      <c r="E455" s="29"/>
      <c r="F455" s="30"/>
      <c r="G455" s="31"/>
      <c r="H455" s="39"/>
      <c r="I455" s="32" t="str">
        <f t="shared" si="28"/>
        <v/>
      </c>
      <c r="J455" s="33"/>
      <c r="K455" s="33"/>
      <c r="L455" s="34"/>
      <c r="M455" s="34"/>
      <c r="N455" s="48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49"/>
      <c r="AG455" s="49"/>
      <c r="AH455" s="49"/>
      <c r="AI455" s="49"/>
      <c r="AJ455" s="49"/>
      <c r="AK455" s="49"/>
      <c r="AL455" s="49"/>
      <c r="AM455" s="49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49"/>
      <c r="AZ455" s="49"/>
      <c r="BA455" s="49"/>
      <c r="BB455" s="49"/>
      <c r="BC455" s="49"/>
      <c r="BD455" s="49"/>
      <c r="BE455" s="49"/>
      <c r="BF455" s="49"/>
      <c r="BG455" s="49"/>
      <c r="BH455" s="49"/>
      <c r="BI455" s="49"/>
      <c r="BJ455" s="49"/>
      <c r="BK455" s="49"/>
      <c r="BL455" s="49"/>
      <c r="BM455" s="49"/>
      <c r="BN455" s="49"/>
      <c r="BO455" s="49"/>
      <c r="BP455" s="49"/>
      <c r="BQ455" s="49"/>
      <c r="BR455" s="49"/>
      <c r="BS455" s="49"/>
      <c r="BT455" s="49"/>
      <c r="BU455" s="49"/>
      <c r="BV455" s="49"/>
      <c r="BW455" s="49"/>
      <c r="BX455" s="49"/>
      <c r="BY455" s="49"/>
      <c r="BZ455" s="49"/>
      <c r="CA455" s="49"/>
      <c r="CB455" s="49"/>
      <c r="CC455" s="49"/>
      <c r="CD455" s="49"/>
      <c r="CE455" s="49"/>
      <c r="CF455" s="49"/>
      <c r="CG455" s="49"/>
      <c r="CH455" s="49"/>
      <c r="CI455" s="49"/>
      <c r="CJ455" s="49"/>
      <c r="CK455" s="49"/>
      <c r="CL455" s="49"/>
      <c r="CM455" s="49"/>
      <c r="CN455" s="49"/>
      <c r="CO455" s="49"/>
      <c r="CP455" s="49"/>
      <c r="CQ455" s="49"/>
      <c r="CR455" s="49"/>
      <c r="CS455" s="49"/>
      <c r="CT455" s="49"/>
      <c r="CU455" s="49"/>
      <c r="CV455" s="49"/>
      <c r="CW455" s="49"/>
      <c r="CX455" s="49"/>
      <c r="CY455" s="49"/>
      <c r="CZ455" s="49"/>
    </row>
    <row r="456" spans="2:113" ht="18" customHeight="1" x14ac:dyDescent="0.4">
      <c r="B456" s="27">
        <f t="shared" si="27"/>
        <v>445</v>
      </c>
      <c r="C456" s="28"/>
      <c r="D456" s="28"/>
      <c r="E456" s="29"/>
      <c r="F456" s="30"/>
      <c r="G456" s="31"/>
      <c r="H456" s="45"/>
      <c r="I456" s="32" t="str">
        <f t="shared" si="28"/>
        <v/>
      </c>
      <c r="J456" s="33"/>
      <c r="K456" s="33"/>
      <c r="L456" s="46"/>
      <c r="M456" s="46"/>
      <c r="N456" s="48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49"/>
      <c r="AK456" s="49"/>
      <c r="AL456" s="49"/>
      <c r="AM456" s="49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49"/>
      <c r="AZ456" s="49"/>
      <c r="BA456" s="49"/>
      <c r="BB456" s="49"/>
      <c r="BC456" s="49"/>
      <c r="BD456" s="49"/>
      <c r="BE456" s="49"/>
      <c r="BF456" s="49"/>
      <c r="BG456" s="49"/>
      <c r="BH456" s="49"/>
      <c r="BI456" s="49"/>
      <c r="BJ456" s="49"/>
      <c r="BK456" s="49"/>
      <c r="BL456" s="49"/>
      <c r="BM456" s="49"/>
      <c r="BN456" s="49"/>
      <c r="BO456" s="49"/>
      <c r="BP456" s="49"/>
      <c r="BQ456" s="49"/>
      <c r="BR456" s="49"/>
      <c r="BS456" s="49"/>
      <c r="BT456" s="49"/>
      <c r="BU456" s="49"/>
      <c r="BV456" s="49"/>
      <c r="BW456" s="49"/>
      <c r="BX456" s="49"/>
      <c r="BY456" s="49"/>
      <c r="BZ456" s="49"/>
      <c r="CA456" s="49"/>
      <c r="CB456" s="49"/>
      <c r="CC456" s="49"/>
      <c r="CD456" s="49"/>
      <c r="CE456" s="49"/>
      <c r="CF456" s="49"/>
      <c r="CG456" s="49"/>
      <c r="CH456" s="49"/>
      <c r="CI456" s="49"/>
      <c r="CJ456" s="49"/>
      <c r="CK456" s="49"/>
      <c r="CL456" s="49"/>
      <c r="CM456" s="49"/>
      <c r="CN456" s="49"/>
      <c r="CO456" s="49"/>
      <c r="CP456" s="49"/>
      <c r="CQ456" s="49"/>
      <c r="CR456" s="49"/>
      <c r="CS456" s="49"/>
      <c r="CT456" s="49"/>
      <c r="CU456" s="49"/>
      <c r="CV456" s="49"/>
      <c r="CW456" s="49"/>
      <c r="CX456" s="49"/>
      <c r="CY456" s="49"/>
      <c r="CZ456" s="49"/>
    </row>
    <row r="457" spans="2:113" ht="18" customHeight="1" x14ac:dyDescent="0.4">
      <c r="B457" s="27">
        <f t="shared" si="27"/>
        <v>446</v>
      </c>
      <c r="C457" s="28"/>
      <c r="D457" s="28"/>
      <c r="E457" s="29"/>
      <c r="F457" s="30"/>
      <c r="G457" s="31"/>
      <c r="H457" s="45"/>
      <c r="I457" s="32" t="str">
        <f t="shared" si="28"/>
        <v/>
      </c>
      <c r="J457" s="33"/>
      <c r="K457" s="33"/>
      <c r="L457" s="46"/>
      <c r="M457" s="46"/>
      <c r="N457" s="36"/>
      <c r="O457" s="36"/>
      <c r="P457" s="36"/>
      <c r="Q457" s="36"/>
      <c r="R457" s="38"/>
      <c r="S457" s="38"/>
      <c r="T457" s="38"/>
      <c r="U457" s="38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  <c r="AF457" s="37"/>
      <c r="AG457" s="37"/>
      <c r="AH457" s="37"/>
      <c r="AI457" s="37"/>
      <c r="AJ457" s="37"/>
      <c r="AK457" s="37"/>
      <c r="AL457" s="37"/>
      <c r="AM457" s="37"/>
      <c r="AN457" s="37"/>
      <c r="AO457" s="37"/>
      <c r="AP457" s="37"/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/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8"/>
      <c r="CZ457" s="38"/>
      <c r="DA457" s="13"/>
      <c r="DB457" s="13"/>
      <c r="DC457" s="13"/>
      <c r="DD457" s="13"/>
      <c r="DE457" s="13"/>
      <c r="DF457" s="13"/>
      <c r="DG457" s="13"/>
      <c r="DH457" s="13"/>
      <c r="DI457" s="13"/>
    </row>
    <row r="458" spans="2:113" ht="18" customHeight="1" x14ac:dyDescent="0.4">
      <c r="B458" s="27">
        <f t="shared" si="27"/>
        <v>447</v>
      </c>
      <c r="C458" s="28"/>
      <c r="D458" s="29"/>
      <c r="E458" s="29"/>
      <c r="F458" s="30"/>
      <c r="G458" s="31"/>
      <c r="H458" s="45"/>
      <c r="I458" s="32" t="str">
        <f t="shared" si="28"/>
        <v/>
      </c>
      <c r="J458" s="33"/>
      <c r="K458" s="33"/>
      <c r="L458" s="46"/>
      <c r="M458" s="46"/>
      <c r="N458" s="36"/>
      <c r="O458" s="36"/>
      <c r="P458" s="36"/>
      <c r="Q458" s="36"/>
      <c r="R458" s="38"/>
      <c r="S458" s="38"/>
      <c r="T458" s="38"/>
      <c r="U458" s="38"/>
      <c r="V458" s="55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0"/>
      <c r="BG458" s="50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8"/>
      <c r="CZ458" s="38"/>
      <c r="DA458" s="13"/>
      <c r="DB458" s="13"/>
      <c r="DC458" s="13"/>
      <c r="DD458" s="13"/>
      <c r="DE458" s="13"/>
      <c r="DF458" s="13"/>
      <c r="DG458" s="13"/>
      <c r="DH458" s="13"/>
      <c r="DI458" s="13"/>
    </row>
    <row r="459" spans="2:113" ht="18" customHeight="1" x14ac:dyDescent="0.4">
      <c r="B459" s="27">
        <f t="shared" si="27"/>
        <v>448</v>
      </c>
      <c r="C459" s="28"/>
      <c r="D459" s="29"/>
      <c r="E459" s="29"/>
      <c r="F459" s="30"/>
      <c r="G459" s="31"/>
      <c r="H459" s="45"/>
      <c r="I459" s="32" t="str">
        <f t="shared" si="28"/>
        <v/>
      </c>
      <c r="J459" s="33"/>
      <c r="K459" s="33"/>
      <c r="L459" s="46"/>
      <c r="M459" s="46"/>
      <c r="N459" s="36"/>
      <c r="O459" s="36"/>
      <c r="P459" s="36"/>
      <c r="Q459" s="36"/>
      <c r="R459" s="38"/>
      <c r="S459" s="38"/>
      <c r="T459" s="52"/>
      <c r="U459" s="52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  <c r="AF459" s="37"/>
      <c r="AG459" s="37"/>
      <c r="AH459" s="37"/>
      <c r="AI459" s="37"/>
      <c r="AJ459" s="37"/>
      <c r="AK459" s="37"/>
      <c r="AL459" s="37"/>
      <c r="AM459" s="37"/>
      <c r="AN459" s="37"/>
      <c r="AO459" s="37"/>
      <c r="AP459" s="37"/>
      <c r="AQ459" s="37"/>
      <c r="AR459" s="37"/>
      <c r="AS459" s="37"/>
      <c r="AT459" s="37"/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7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8"/>
      <c r="CZ459" s="38"/>
      <c r="DA459" s="13"/>
      <c r="DB459" s="13"/>
      <c r="DC459" s="13"/>
      <c r="DD459" s="13"/>
      <c r="DE459" s="13"/>
      <c r="DF459" s="13"/>
      <c r="DG459" s="13"/>
      <c r="DH459" s="13"/>
      <c r="DI459" s="13"/>
    </row>
    <row r="460" spans="2:113" ht="18" customHeight="1" x14ac:dyDescent="0.4">
      <c r="B460" s="27">
        <f t="shared" si="27"/>
        <v>449</v>
      </c>
      <c r="C460" s="28"/>
      <c r="D460" s="29"/>
      <c r="E460" s="29"/>
      <c r="F460" s="30"/>
      <c r="G460" s="31"/>
      <c r="H460" s="43"/>
      <c r="I460" s="32" t="str">
        <f t="shared" si="28"/>
        <v/>
      </c>
      <c r="J460" s="33"/>
      <c r="K460" s="33"/>
      <c r="L460" s="57"/>
      <c r="M460" s="57"/>
      <c r="N460" s="47"/>
      <c r="O460" s="36"/>
      <c r="P460" s="36"/>
      <c r="Q460" s="36"/>
      <c r="R460" s="38"/>
      <c r="S460" s="38"/>
      <c r="T460" s="38"/>
      <c r="U460" s="38"/>
      <c r="V460" s="38"/>
      <c r="W460" s="38"/>
      <c r="X460" s="38"/>
      <c r="Y460" s="36"/>
      <c r="Z460" s="36"/>
      <c r="AA460" s="36"/>
      <c r="AB460" s="36"/>
      <c r="AC460" s="36"/>
      <c r="AD460" s="36"/>
      <c r="AE460" s="36"/>
      <c r="AF460" s="36"/>
      <c r="AG460" s="36"/>
      <c r="AH460" s="36"/>
      <c r="AI460" s="36"/>
      <c r="AJ460" s="36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/>
      <c r="CI460" s="36"/>
      <c r="CJ460" s="36"/>
      <c r="CK460" s="36"/>
      <c r="CL460" s="36"/>
      <c r="CM460" s="36"/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8"/>
      <c r="CZ460" s="38"/>
      <c r="DA460" s="13"/>
      <c r="DB460" s="13"/>
      <c r="DC460" s="13"/>
      <c r="DD460" s="13"/>
      <c r="DE460" s="13"/>
      <c r="DF460" s="13"/>
      <c r="DG460" s="13"/>
      <c r="DH460" s="13"/>
      <c r="DI460" s="13"/>
    </row>
    <row r="461" spans="2:113" ht="18" customHeight="1" x14ac:dyDescent="0.4">
      <c r="B461" s="27">
        <f t="shared" si="27"/>
        <v>450</v>
      </c>
      <c r="C461" s="28"/>
      <c r="D461" s="29"/>
      <c r="E461" s="29"/>
      <c r="F461" s="30"/>
      <c r="G461" s="31"/>
      <c r="H461" s="45"/>
      <c r="I461" s="32" t="str">
        <f t="shared" si="28"/>
        <v/>
      </c>
      <c r="J461" s="33"/>
      <c r="K461" s="33"/>
      <c r="L461" s="46"/>
      <c r="M461" s="46"/>
      <c r="N461" s="48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49"/>
      <c r="AG461" s="49"/>
      <c r="AH461" s="49"/>
      <c r="AI461" s="49"/>
      <c r="AJ461" s="49"/>
      <c r="AK461" s="49"/>
      <c r="AL461" s="49"/>
      <c r="AM461" s="49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49"/>
      <c r="AZ461" s="49"/>
      <c r="BA461" s="49"/>
      <c r="BB461" s="49"/>
      <c r="BC461" s="49"/>
      <c r="BD461" s="49"/>
      <c r="BE461" s="49"/>
      <c r="BF461" s="49"/>
      <c r="BG461" s="49"/>
      <c r="BH461" s="49"/>
      <c r="BI461" s="49"/>
      <c r="BJ461" s="49"/>
      <c r="BK461" s="49"/>
      <c r="BL461" s="49"/>
      <c r="BM461" s="49"/>
      <c r="BN461" s="49"/>
      <c r="BO461" s="49"/>
      <c r="BP461" s="49"/>
      <c r="BQ461" s="49"/>
      <c r="BR461" s="49"/>
      <c r="BS461" s="49"/>
      <c r="BT461" s="49"/>
      <c r="BU461" s="49"/>
      <c r="BV461" s="49"/>
      <c r="BW461" s="49"/>
      <c r="BX461" s="49"/>
      <c r="BY461" s="49"/>
      <c r="BZ461" s="49"/>
      <c r="CA461" s="49"/>
      <c r="CB461" s="49"/>
      <c r="CC461" s="49"/>
      <c r="CD461" s="49"/>
      <c r="CE461" s="49"/>
      <c r="CF461" s="49"/>
      <c r="CG461" s="49"/>
      <c r="CH461" s="49"/>
      <c r="CI461" s="49"/>
      <c r="CJ461" s="49"/>
      <c r="CK461" s="49"/>
      <c r="CL461" s="49"/>
      <c r="CM461" s="49"/>
      <c r="CN461" s="49"/>
      <c r="CO461" s="49"/>
      <c r="CP461" s="49"/>
      <c r="CQ461" s="49"/>
      <c r="CR461" s="49"/>
      <c r="CS461" s="49"/>
      <c r="CT461" s="49"/>
      <c r="CU461" s="49"/>
      <c r="CV461" s="49"/>
      <c r="CW461" s="49"/>
      <c r="CX461" s="49"/>
      <c r="CY461" s="49"/>
      <c r="CZ461" s="49"/>
    </row>
    <row r="462" spans="2:113" ht="18" customHeight="1" x14ac:dyDescent="0.4">
      <c r="B462" s="27">
        <f>ROW()-11</f>
        <v>451</v>
      </c>
      <c r="C462" s="28"/>
      <c r="D462" s="28"/>
      <c r="E462" s="29"/>
      <c r="F462" s="30"/>
      <c r="G462" s="31"/>
      <c r="H462" s="31"/>
      <c r="I462" s="32" t="str">
        <f t="shared" si="28"/>
        <v/>
      </c>
      <c r="J462" s="33"/>
      <c r="K462" s="33"/>
      <c r="L462" s="34"/>
      <c r="M462" s="34"/>
      <c r="N462" s="35"/>
      <c r="O462" s="35"/>
      <c r="P462" s="35"/>
      <c r="Q462" s="35"/>
      <c r="R462" s="36"/>
      <c r="S462" s="36"/>
      <c r="T462" s="36"/>
      <c r="U462" s="36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  <c r="BE462" s="37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8"/>
      <c r="CZ462" s="38"/>
      <c r="DA462" s="13"/>
      <c r="DB462" s="13"/>
      <c r="DC462" s="13"/>
      <c r="DD462" s="13"/>
      <c r="DE462" s="13"/>
      <c r="DF462" s="13"/>
      <c r="DG462" s="13"/>
      <c r="DH462" s="13"/>
      <c r="DI462" s="13"/>
    </row>
    <row r="463" spans="2:113" ht="18" customHeight="1" x14ac:dyDescent="0.4">
      <c r="B463" s="27">
        <f t="shared" ref="B463:B511" si="29">ROW()-11</f>
        <v>452</v>
      </c>
      <c r="C463" s="28"/>
      <c r="D463" s="28"/>
      <c r="E463" s="29"/>
      <c r="F463" s="30"/>
      <c r="G463" s="31"/>
      <c r="H463" s="39"/>
      <c r="I463" s="32" t="str">
        <f t="shared" si="28"/>
        <v/>
      </c>
      <c r="J463" s="33"/>
      <c r="K463" s="33"/>
      <c r="L463" s="40"/>
      <c r="M463" s="40"/>
      <c r="N463" s="36"/>
      <c r="O463" s="41"/>
      <c r="P463" s="41"/>
      <c r="Q463" s="41"/>
      <c r="R463" s="38"/>
      <c r="S463" s="38"/>
      <c r="T463" s="38"/>
      <c r="U463" s="38"/>
      <c r="V463" s="42"/>
      <c r="W463" s="42"/>
      <c r="X463" s="42"/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8"/>
      <c r="CZ463" s="38"/>
      <c r="DA463" s="13"/>
      <c r="DB463" s="13"/>
      <c r="DC463" s="13"/>
      <c r="DD463" s="13"/>
      <c r="DE463" s="13"/>
      <c r="DF463" s="13"/>
      <c r="DG463" s="13"/>
      <c r="DH463" s="13"/>
      <c r="DI463" s="13"/>
    </row>
    <row r="464" spans="2:113" ht="18" customHeight="1" x14ac:dyDescent="0.4">
      <c r="B464" s="27">
        <f t="shared" si="29"/>
        <v>453</v>
      </c>
      <c r="C464" s="28"/>
      <c r="D464" s="28"/>
      <c r="E464" s="29"/>
      <c r="F464" s="30"/>
      <c r="G464" s="31"/>
      <c r="H464" s="43"/>
      <c r="I464" s="32" t="str">
        <f t="shared" si="28"/>
        <v/>
      </c>
      <c r="J464" s="33"/>
      <c r="K464" s="33"/>
      <c r="L464" s="40"/>
      <c r="M464" s="40"/>
      <c r="N464" s="44"/>
      <c r="O464" s="36"/>
      <c r="P464" s="36"/>
      <c r="Q464" s="36"/>
      <c r="R464" s="38"/>
      <c r="S464" s="38"/>
      <c r="T464" s="38"/>
      <c r="U464" s="38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2"/>
      <c r="AY464" s="42"/>
      <c r="AZ464" s="42"/>
      <c r="BA464" s="42"/>
      <c r="BB464" s="42"/>
      <c r="BC464" s="42"/>
      <c r="BD464" s="42"/>
      <c r="BE464" s="42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8"/>
      <c r="CZ464" s="38"/>
      <c r="DA464" s="13"/>
      <c r="DB464" s="13"/>
      <c r="DC464" s="13"/>
      <c r="DD464" s="13"/>
      <c r="DE464" s="13"/>
      <c r="DF464" s="13"/>
      <c r="DG464" s="13"/>
      <c r="DH464" s="13"/>
      <c r="DI464" s="13"/>
    </row>
    <row r="465" spans="2:113" ht="18" customHeight="1" x14ac:dyDescent="0.4">
      <c r="B465" s="27">
        <f t="shared" si="29"/>
        <v>454</v>
      </c>
      <c r="C465" s="28"/>
      <c r="D465" s="29"/>
      <c r="E465" s="29"/>
      <c r="F465" s="30"/>
      <c r="G465" s="31"/>
      <c r="H465" s="45"/>
      <c r="I465" s="32" t="str">
        <f t="shared" si="28"/>
        <v/>
      </c>
      <c r="J465" s="33"/>
      <c r="K465" s="33"/>
      <c r="L465" s="46"/>
      <c r="M465" s="46"/>
      <c r="N465" s="44"/>
      <c r="O465" s="36"/>
      <c r="P465" s="36"/>
      <c r="Q465" s="36"/>
      <c r="R465" s="38"/>
      <c r="S465" s="38"/>
      <c r="T465" s="38"/>
      <c r="U465" s="38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  <c r="AP465" s="37"/>
      <c r="AQ465" s="37"/>
      <c r="AR465" s="37"/>
      <c r="AS465" s="37"/>
      <c r="AT465" s="37"/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  <c r="BE465" s="37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8"/>
      <c r="CZ465" s="38"/>
      <c r="DA465" s="13"/>
      <c r="DB465" s="13"/>
      <c r="DC465" s="13"/>
      <c r="DD465" s="13"/>
      <c r="DE465" s="13"/>
      <c r="DF465" s="13"/>
      <c r="DG465" s="13"/>
      <c r="DH465" s="13"/>
      <c r="DI465" s="13"/>
    </row>
    <row r="466" spans="2:113" ht="18" customHeight="1" x14ac:dyDescent="0.4">
      <c r="B466" s="27">
        <f t="shared" si="29"/>
        <v>455</v>
      </c>
      <c r="C466" s="28"/>
      <c r="D466" s="28"/>
      <c r="E466" s="29"/>
      <c r="F466" s="30"/>
      <c r="G466" s="31"/>
      <c r="H466" s="39"/>
      <c r="I466" s="32" t="str">
        <f t="shared" si="28"/>
        <v/>
      </c>
      <c r="J466" s="33"/>
      <c r="K466" s="33"/>
      <c r="L466" s="34"/>
      <c r="M466" s="34"/>
      <c r="N466" s="47"/>
      <c r="O466" s="36"/>
      <c r="P466" s="36"/>
      <c r="Q466" s="36"/>
      <c r="R466" s="38"/>
      <c r="S466" s="38"/>
      <c r="T466" s="38"/>
      <c r="U466" s="38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8"/>
      <c r="CZ466" s="38"/>
      <c r="DA466" s="13"/>
      <c r="DB466" s="13"/>
      <c r="DC466" s="13"/>
      <c r="DD466" s="13"/>
      <c r="DE466" s="13"/>
      <c r="DF466" s="13"/>
      <c r="DG466" s="13"/>
      <c r="DH466" s="13"/>
      <c r="DI466" s="13"/>
    </row>
    <row r="467" spans="2:113" ht="18" customHeight="1" x14ac:dyDescent="0.4">
      <c r="B467" s="27">
        <f t="shared" si="29"/>
        <v>456</v>
      </c>
      <c r="C467" s="28"/>
      <c r="D467" s="28"/>
      <c r="E467" s="29"/>
      <c r="F467" s="30"/>
      <c r="G467" s="31"/>
      <c r="H467" s="43"/>
      <c r="I467" s="32" t="str">
        <f t="shared" si="28"/>
        <v/>
      </c>
      <c r="J467" s="33"/>
      <c r="K467" s="33"/>
      <c r="L467" s="40"/>
      <c r="M467" s="40"/>
      <c r="N467" s="48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49"/>
      <c r="AG467" s="49"/>
      <c r="AH467" s="49"/>
      <c r="AI467" s="49"/>
      <c r="AJ467" s="49"/>
      <c r="AK467" s="49"/>
      <c r="AL467" s="49"/>
      <c r="AM467" s="49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49"/>
      <c r="AZ467" s="49"/>
      <c r="BA467" s="49"/>
      <c r="BB467" s="49"/>
      <c r="BC467" s="49"/>
      <c r="BD467" s="49"/>
      <c r="BE467" s="49"/>
      <c r="BF467" s="49"/>
      <c r="BG467" s="49"/>
      <c r="BH467" s="49"/>
      <c r="BI467" s="49"/>
      <c r="BJ467" s="49"/>
      <c r="BK467" s="49"/>
      <c r="BL467" s="49"/>
      <c r="BM467" s="49"/>
      <c r="BN467" s="49"/>
      <c r="BO467" s="49"/>
      <c r="BP467" s="49"/>
      <c r="BQ467" s="49"/>
      <c r="BR467" s="49"/>
      <c r="BS467" s="49"/>
      <c r="BT467" s="49"/>
      <c r="BU467" s="49"/>
      <c r="BV467" s="49"/>
      <c r="BW467" s="49"/>
      <c r="BX467" s="49"/>
      <c r="BY467" s="49"/>
      <c r="BZ467" s="49"/>
      <c r="CA467" s="49"/>
      <c r="CB467" s="49"/>
      <c r="CC467" s="49"/>
      <c r="CD467" s="49"/>
      <c r="CE467" s="49"/>
      <c r="CF467" s="49"/>
      <c r="CG467" s="49"/>
      <c r="CH467" s="49"/>
      <c r="CI467" s="49"/>
      <c r="CJ467" s="49"/>
      <c r="CK467" s="49"/>
      <c r="CL467" s="49"/>
      <c r="CM467" s="49"/>
      <c r="CN467" s="49"/>
      <c r="CO467" s="49"/>
      <c r="CP467" s="49"/>
      <c r="CQ467" s="49"/>
      <c r="CR467" s="49"/>
      <c r="CS467" s="49"/>
      <c r="CT467" s="49"/>
      <c r="CU467" s="49"/>
      <c r="CV467" s="49"/>
      <c r="CW467" s="49"/>
      <c r="CX467" s="49"/>
      <c r="CY467" s="49"/>
      <c r="CZ467" s="49"/>
    </row>
    <row r="468" spans="2:113" ht="18" customHeight="1" x14ac:dyDescent="0.4">
      <c r="B468" s="27">
        <f t="shared" si="29"/>
        <v>457</v>
      </c>
      <c r="C468" s="28"/>
      <c r="D468" s="29"/>
      <c r="E468" s="29"/>
      <c r="F468" s="30"/>
      <c r="G468" s="31"/>
      <c r="H468" s="43"/>
      <c r="I468" s="32" t="str">
        <f t="shared" si="28"/>
        <v/>
      </c>
      <c r="J468" s="33"/>
      <c r="K468" s="33"/>
      <c r="L468" s="40"/>
      <c r="M468" s="40"/>
      <c r="N468" s="48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49"/>
      <c r="AG468" s="49"/>
      <c r="AH468" s="49"/>
      <c r="AI468" s="49"/>
      <c r="AJ468" s="49"/>
      <c r="AK468" s="49"/>
      <c r="AL468" s="49"/>
      <c r="AM468" s="49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49"/>
      <c r="AZ468" s="49"/>
      <c r="BA468" s="49"/>
      <c r="BB468" s="49"/>
      <c r="BC468" s="49"/>
      <c r="BD468" s="49"/>
      <c r="BE468" s="49"/>
      <c r="BF468" s="49"/>
      <c r="BG468" s="49"/>
      <c r="BH468" s="49"/>
      <c r="BI468" s="49"/>
      <c r="BJ468" s="49"/>
      <c r="BK468" s="49"/>
      <c r="BL468" s="49"/>
      <c r="BM468" s="49"/>
      <c r="BN468" s="49"/>
      <c r="BO468" s="49"/>
      <c r="BP468" s="49"/>
      <c r="BQ468" s="49"/>
      <c r="BR468" s="49"/>
      <c r="BS468" s="49"/>
      <c r="BT468" s="49"/>
      <c r="BU468" s="49"/>
      <c r="BV468" s="49"/>
      <c r="BW468" s="49"/>
      <c r="BX468" s="49"/>
      <c r="BY468" s="49"/>
      <c r="BZ468" s="49"/>
      <c r="CA468" s="49"/>
      <c r="CB468" s="49"/>
      <c r="CC468" s="49"/>
      <c r="CD468" s="49"/>
      <c r="CE468" s="49"/>
      <c r="CF468" s="49"/>
      <c r="CG468" s="49"/>
      <c r="CH468" s="49"/>
      <c r="CI468" s="49"/>
      <c r="CJ468" s="49"/>
      <c r="CK468" s="49"/>
      <c r="CL468" s="49"/>
      <c r="CM468" s="49"/>
      <c r="CN468" s="49"/>
      <c r="CO468" s="49"/>
      <c r="CP468" s="49"/>
      <c r="CQ468" s="49"/>
      <c r="CR468" s="49"/>
      <c r="CS468" s="49"/>
      <c r="CT468" s="49"/>
      <c r="CU468" s="49"/>
      <c r="CV468" s="49"/>
      <c r="CW468" s="49"/>
      <c r="CX468" s="49"/>
      <c r="CY468" s="49"/>
      <c r="CZ468" s="49"/>
    </row>
    <row r="469" spans="2:113" ht="18" customHeight="1" x14ac:dyDescent="0.4">
      <c r="B469" s="27">
        <f t="shared" si="29"/>
        <v>458</v>
      </c>
      <c r="C469" s="28"/>
      <c r="D469" s="29"/>
      <c r="E469" s="29"/>
      <c r="F469" s="30"/>
      <c r="G469" s="31"/>
      <c r="H469" s="39"/>
      <c r="I469" s="32" t="str">
        <f t="shared" si="28"/>
        <v/>
      </c>
      <c r="J469" s="33"/>
      <c r="K469" s="33"/>
      <c r="L469" s="40"/>
      <c r="M469" s="40"/>
      <c r="N469" s="36"/>
      <c r="O469" s="36"/>
      <c r="P469" s="36"/>
      <c r="Q469" s="36"/>
      <c r="R469" s="38"/>
      <c r="S469" s="38"/>
      <c r="T469" s="38"/>
      <c r="U469" s="38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  <c r="AF469" s="37"/>
      <c r="AG469" s="37"/>
      <c r="AH469" s="37"/>
      <c r="AI469" s="37"/>
      <c r="AJ469" s="37"/>
      <c r="AK469" s="37"/>
      <c r="AL469" s="37"/>
      <c r="AM469" s="37"/>
      <c r="AN469" s="37"/>
      <c r="AO469" s="37"/>
      <c r="AP469" s="37"/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8"/>
      <c r="CZ469" s="38"/>
      <c r="DA469" s="13"/>
      <c r="DB469" s="13"/>
      <c r="DC469" s="13"/>
      <c r="DD469" s="13"/>
      <c r="DE469" s="13"/>
      <c r="DF469" s="13"/>
      <c r="DG469" s="13"/>
      <c r="DH469" s="13"/>
      <c r="DI469" s="13"/>
    </row>
    <row r="470" spans="2:113" ht="18" customHeight="1" x14ac:dyDescent="0.4">
      <c r="B470" s="27">
        <f t="shared" si="29"/>
        <v>459</v>
      </c>
      <c r="C470" s="28"/>
      <c r="D470" s="29"/>
      <c r="E470" s="29"/>
      <c r="F470" s="30"/>
      <c r="G470" s="31"/>
      <c r="H470" s="43"/>
      <c r="I470" s="32" t="str">
        <f t="shared" si="28"/>
        <v/>
      </c>
      <c r="J470" s="33"/>
      <c r="K470" s="33"/>
      <c r="L470" s="40"/>
      <c r="M470" s="40"/>
      <c r="N470" s="44"/>
      <c r="O470" s="36"/>
      <c r="P470" s="36"/>
      <c r="Q470" s="36"/>
      <c r="R470" s="36"/>
      <c r="S470" s="36"/>
      <c r="T470" s="38"/>
      <c r="U470" s="38"/>
      <c r="V470" s="42"/>
      <c r="W470" s="42"/>
      <c r="X470" s="42"/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8"/>
      <c r="CZ470" s="38"/>
      <c r="DA470" s="13"/>
      <c r="DB470" s="13"/>
      <c r="DC470" s="13"/>
      <c r="DD470" s="13"/>
      <c r="DE470" s="13"/>
      <c r="DF470" s="13"/>
      <c r="DG470" s="13"/>
      <c r="DH470" s="13"/>
      <c r="DI470" s="13"/>
    </row>
    <row r="471" spans="2:113" ht="18" customHeight="1" x14ac:dyDescent="0.4">
      <c r="B471" s="27">
        <f t="shared" si="29"/>
        <v>460</v>
      </c>
      <c r="C471" s="28"/>
      <c r="D471" s="28"/>
      <c r="E471" s="29"/>
      <c r="F471" s="30"/>
      <c r="G471" s="31"/>
      <c r="H471" s="39"/>
      <c r="I471" s="32" t="str">
        <f t="shared" si="28"/>
        <v/>
      </c>
      <c r="J471" s="33"/>
      <c r="K471" s="33"/>
      <c r="L471" s="40"/>
      <c r="M471" s="40"/>
      <c r="N471" s="41"/>
      <c r="O471" s="36"/>
      <c r="P471" s="36"/>
      <c r="Q471" s="41"/>
      <c r="R471" s="38"/>
      <c r="S471" s="38"/>
      <c r="T471" s="38"/>
      <c r="U471" s="38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  <c r="AF471" s="37"/>
      <c r="AG471" s="37"/>
      <c r="AH471" s="37"/>
      <c r="AI471" s="37"/>
      <c r="AJ471" s="37"/>
      <c r="AK471" s="37"/>
      <c r="AL471" s="37"/>
      <c r="AM471" s="37"/>
      <c r="AN471" s="37"/>
      <c r="AO471" s="37"/>
      <c r="AP471" s="37"/>
      <c r="AQ471" s="37"/>
      <c r="AR471" s="37"/>
      <c r="AS471" s="37"/>
      <c r="AT471" s="37"/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  <c r="BE471" s="37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8"/>
      <c r="CZ471" s="38"/>
      <c r="DA471" s="13"/>
      <c r="DB471" s="13"/>
      <c r="DC471" s="13"/>
      <c r="DD471" s="13"/>
      <c r="DE471" s="13"/>
      <c r="DF471" s="13"/>
      <c r="DG471" s="13"/>
      <c r="DH471" s="13"/>
      <c r="DI471" s="13"/>
    </row>
    <row r="472" spans="2:113" ht="18" customHeight="1" x14ac:dyDescent="0.4">
      <c r="B472" s="27">
        <f t="shared" si="29"/>
        <v>461</v>
      </c>
      <c r="C472" s="28"/>
      <c r="D472" s="28"/>
      <c r="E472" s="29"/>
      <c r="F472" s="30"/>
      <c r="G472" s="31"/>
      <c r="H472" s="39"/>
      <c r="I472" s="32" t="str">
        <f t="shared" si="28"/>
        <v/>
      </c>
      <c r="J472" s="33"/>
      <c r="K472" s="33"/>
      <c r="L472" s="40"/>
      <c r="M472" s="40"/>
      <c r="N472" s="36"/>
      <c r="O472" s="36"/>
      <c r="P472" s="36"/>
      <c r="Q472" s="36"/>
      <c r="R472" s="38"/>
      <c r="S472" s="38"/>
      <c r="T472" s="38"/>
      <c r="U472" s="38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  <c r="AF472" s="37"/>
      <c r="AG472" s="37"/>
      <c r="AH472" s="37"/>
      <c r="AI472" s="37"/>
      <c r="AJ472" s="37"/>
      <c r="AK472" s="37"/>
      <c r="AL472" s="37"/>
      <c r="AM472" s="37"/>
      <c r="AN472" s="37"/>
      <c r="AO472" s="37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6"/>
      <c r="BG472" s="36"/>
      <c r="BH472" s="36"/>
      <c r="BI472" s="36"/>
      <c r="BJ472" s="50"/>
      <c r="BK472" s="50"/>
      <c r="BL472" s="50"/>
      <c r="BM472" s="50"/>
      <c r="BN472" s="50"/>
      <c r="BO472" s="36"/>
      <c r="BP472" s="36"/>
      <c r="BQ472" s="39"/>
      <c r="BR472" s="39"/>
      <c r="BS472" s="39"/>
      <c r="BT472" s="39"/>
      <c r="BU472" s="39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8"/>
      <c r="CZ472" s="38"/>
      <c r="DA472" s="13"/>
      <c r="DB472" s="13"/>
      <c r="DC472" s="13"/>
      <c r="DD472" s="13"/>
      <c r="DE472" s="13"/>
      <c r="DF472" s="13"/>
      <c r="DG472" s="13"/>
      <c r="DH472" s="13"/>
      <c r="DI472" s="13"/>
    </row>
    <row r="473" spans="2:113" ht="18" customHeight="1" x14ac:dyDescent="0.4">
      <c r="B473" s="27">
        <f t="shared" si="29"/>
        <v>462</v>
      </c>
      <c r="C473" s="28"/>
      <c r="D473" s="28"/>
      <c r="E473" s="29"/>
      <c r="F473" s="30"/>
      <c r="G473" s="31"/>
      <c r="H473" s="43"/>
      <c r="I473" s="32" t="str">
        <f t="shared" si="28"/>
        <v/>
      </c>
      <c r="J473" s="33"/>
      <c r="K473" s="33"/>
      <c r="L473" s="40"/>
      <c r="M473" s="40"/>
      <c r="N473" s="47"/>
      <c r="O473" s="36"/>
      <c r="P473" s="36"/>
      <c r="Q473" s="36"/>
      <c r="R473" s="38"/>
      <c r="S473" s="38"/>
      <c r="T473" s="38"/>
      <c r="U473" s="38"/>
      <c r="V473" s="42"/>
      <c r="W473" s="42"/>
      <c r="X473" s="42"/>
      <c r="Y473" s="42"/>
      <c r="Z473" s="42"/>
      <c r="AA473" s="37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8"/>
      <c r="CZ473" s="38"/>
      <c r="DA473" s="13"/>
      <c r="DB473" s="13"/>
      <c r="DC473" s="13"/>
      <c r="DD473" s="13"/>
      <c r="DE473" s="13"/>
      <c r="DF473" s="13"/>
      <c r="DG473" s="13"/>
      <c r="DH473" s="13"/>
      <c r="DI473" s="13"/>
    </row>
    <row r="474" spans="2:113" ht="18" customHeight="1" x14ac:dyDescent="0.4">
      <c r="B474" s="27">
        <f t="shared" si="29"/>
        <v>463</v>
      </c>
      <c r="C474" s="28"/>
      <c r="D474" s="29"/>
      <c r="E474" s="29"/>
      <c r="F474" s="30"/>
      <c r="G474" s="31"/>
      <c r="H474" s="39"/>
      <c r="I474" s="32" t="str">
        <f t="shared" si="28"/>
        <v/>
      </c>
      <c r="J474" s="33"/>
      <c r="K474" s="33"/>
      <c r="L474" s="40"/>
      <c r="M474" s="40"/>
      <c r="N474" s="44"/>
      <c r="O474" s="36"/>
      <c r="P474" s="36"/>
      <c r="Q474" s="36"/>
      <c r="R474" s="36"/>
      <c r="S474" s="36"/>
      <c r="T474" s="38"/>
      <c r="U474" s="38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37"/>
      <c r="AN474" s="37"/>
      <c r="AO474" s="37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8"/>
      <c r="CZ474" s="38"/>
      <c r="DA474" s="13"/>
      <c r="DB474" s="13"/>
      <c r="DC474" s="13"/>
      <c r="DD474" s="13"/>
      <c r="DE474" s="13"/>
      <c r="DF474" s="13"/>
      <c r="DG474" s="13"/>
      <c r="DH474" s="13"/>
      <c r="DI474" s="13"/>
    </row>
    <row r="475" spans="2:113" ht="18" customHeight="1" x14ac:dyDescent="0.4">
      <c r="B475" s="27">
        <f t="shared" si="29"/>
        <v>464</v>
      </c>
      <c r="C475" s="28"/>
      <c r="D475" s="51"/>
      <c r="E475" s="29"/>
      <c r="F475" s="30"/>
      <c r="G475" s="31"/>
      <c r="H475" s="39"/>
      <c r="I475" s="32" t="str">
        <f t="shared" si="28"/>
        <v/>
      </c>
      <c r="J475" s="33"/>
      <c r="K475" s="33"/>
      <c r="L475" s="34"/>
      <c r="M475" s="34"/>
      <c r="N475" s="48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49"/>
      <c r="AG475" s="49"/>
      <c r="AH475" s="49"/>
      <c r="AI475" s="49"/>
      <c r="AJ475" s="49"/>
      <c r="AK475" s="49"/>
      <c r="AL475" s="49"/>
      <c r="AM475" s="49"/>
      <c r="AN475" s="49"/>
      <c r="AO475" s="49"/>
      <c r="AP475" s="49"/>
      <c r="AQ475" s="49"/>
      <c r="AR475" s="49"/>
      <c r="AS475" s="49"/>
      <c r="AT475" s="49"/>
      <c r="AU475" s="49"/>
      <c r="AV475" s="49"/>
      <c r="AW475" s="49"/>
      <c r="AX475" s="49"/>
      <c r="AY475" s="49"/>
      <c r="AZ475" s="49"/>
      <c r="BA475" s="49"/>
      <c r="BB475" s="49"/>
      <c r="BC475" s="49"/>
      <c r="BD475" s="49"/>
      <c r="BE475" s="49"/>
      <c r="BF475" s="49"/>
      <c r="BG475" s="49"/>
      <c r="BH475" s="49"/>
      <c r="BI475" s="49"/>
      <c r="BJ475" s="49"/>
      <c r="BK475" s="49"/>
      <c r="BL475" s="49"/>
      <c r="BM475" s="49"/>
      <c r="BN475" s="49"/>
      <c r="BO475" s="49"/>
      <c r="BP475" s="49"/>
      <c r="BQ475" s="49"/>
      <c r="BR475" s="49"/>
      <c r="BS475" s="49"/>
      <c r="BT475" s="49"/>
      <c r="BU475" s="49"/>
      <c r="BV475" s="49"/>
      <c r="BW475" s="49"/>
      <c r="BX475" s="49"/>
      <c r="BY475" s="49"/>
      <c r="BZ475" s="49"/>
      <c r="CA475" s="49"/>
      <c r="CB475" s="49"/>
      <c r="CC475" s="49"/>
      <c r="CD475" s="49"/>
      <c r="CE475" s="49"/>
      <c r="CF475" s="49"/>
      <c r="CG475" s="49"/>
      <c r="CH475" s="49"/>
      <c r="CI475" s="49"/>
      <c r="CJ475" s="49"/>
      <c r="CK475" s="49"/>
      <c r="CL475" s="49"/>
      <c r="CM475" s="49"/>
      <c r="CN475" s="49"/>
      <c r="CO475" s="49"/>
      <c r="CP475" s="49"/>
      <c r="CQ475" s="49"/>
      <c r="CR475" s="49"/>
      <c r="CS475" s="49"/>
      <c r="CT475" s="49"/>
      <c r="CU475" s="49"/>
      <c r="CV475" s="49"/>
      <c r="CW475" s="49"/>
      <c r="CX475" s="49"/>
      <c r="CY475" s="49"/>
      <c r="CZ475" s="49"/>
    </row>
    <row r="476" spans="2:113" ht="18" customHeight="1" x14ac:dyDescent="0.4">
      <c r="B476" s="27">
        <f t="shared" si="29"/>
        <v>465</v>
      </c>
      <c r="C476" s="28"/>
      <c r="D476" s="29"/>
      <c r="E476" s="29"/>
      <c r="F476" s="30"/>
      <c r="G476" s="31"/>
      <c r="H476" s="39"/>
      <c r="I476" s="32" t="str">
        <f t="shared" si="28"/>
        <v/>
      </c>
      <c r="J476" s="33"/>
      <c r="K476" s="33"/>
      <c r="L476" s="34"/>
      <c r="M476" s="34"/>
      <c r="N476" s="36"/>
      <c r="O476" s="36"/>
      <c r="P476" s="36"/>
      <c r="Q476" s="36"/>
      <c r="R476" s="38"/>
      <c r="S476" s="38"/>
      <c r="T476" s="36"/>
      <c r="U476" s="36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  <c r="AF476" s="37"/>
      <c r="AG476" s="37"/>
      <c r="AH476" s="37"/>
      <c r="AI476" s="37"/>
      <c r="AJ476" s="37"/>
      <c r="AK476" s="37"/>
      <c r="AL476" s="37"/>
      <c r="AM476" s="37"/>
      <c r="AN476" s="37"/>
      <c r="AO476" s="37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7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8"/>
      <c r="CZ476" s="38"/>
      <c r="DA476" s="13"/>
      <c r="DB476" s="13"/>
      <c r="DC476" s="13"/>
      <c r="DD476" s="13"/>
      <c r="DE476" s="13"/>
      <c r="DF476" s="13"/>
      <c r="DG476" s="13"/>
      <c r="DH476" s="13"/>
      <c r="DI476" s="13"/>
    </row>
    <row r="477" spans="2:113" ht="18" customHeight="1" x14ac:dyDescent="0.4">
      <c r="B477" s="27">
        <f t="shared" si="29"/>
        <v>466</v>
      </c>
      <c r="C477" s="28"/>
      <c r="D477" s="29"/>
      <c r="E477" s="29"/>
      <c r="F477" s="30"/>
      <c r="G477" s="31"/>
      <c r="H477" s="39"/>
      <c r="I477" s="32" t="str">
        <f t="shared" si="28"/>
        <v/>
      </c>
      <c r="J477" s="33"/>
      <c r="K477" s="33"/>
      <c r="L477" s="34"/>
      <c r="M477" s="34"/>
      <c r="N477" s="44"/>
      <c r="O477" s="36"/>
      <c r="P477" s="36"/>
      <c r="Q477" s="36"/>
      <c r="R477" s="38"/>
      <c r="S477" s="38"/>
      <c r="T477" s="38"/>
      <c r="U477" s="38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  <c r="AF477" s="37"/>
      <c r="AG477" s="37"/>
      <c r="AH477" s="37"/>
      <c r="AI477" s="37"/>
      <c r="AJ477" s="37"/>
      <c r="AK477" s="37"/>
      <c r="AL477" s="37"/>
      <c r="AM477" s="37"/>
      <c r="AN477" s="37"/>
      <c r="AO477" s="37"/>
      <c r="AP477" s="37"/>
      <c r="AQ477" s="37"/>
      <c r="AR477" s="37"/>
      <c r="AS477" s="37"/>
      <c r="AT477" s="37"/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  <c r="BE477" s="37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8"/>
      <c r="CZ477" s="38"/>
      <c r="DA477" s="13"/>
      <c r="DB477" s="13"/>
      <c r="DC477" s="13"/>
      <c r="DD477" s="13"/>
      <c r="DE477" s="13"/>
      <c r="DF477" s="13"/>
      <c r="DG477" s="13"/>
      <c r="DH477" s="13"/>
      <c r="DI477" s="13"/>
    </row>
    <row r="478" spans="2:113" ht="18" customHeight="1" x14ac:dyDescent="0.4">
      <c r="B478" s="27">
        <f t="shared" si="29"/>
        <v>467</v>
      </c>
      <c r="C478" s="28"/>
      <c r="D478" s="29"/>
      <c r="E478" s="29"/>
      <c r="F478" s="30"/>
      <c r="G478" s="31"/>
      <c r="H478" s="43"/>
      <c r="I478" s="32" t="str">
        <f t="shared" si="28"/>
        <v/>
      </c>
      <c r="J478" s="33"/>
      <c r="K478" s="33"/>
      <c r="L478" s="34"/>
      <c r="M478" s="34"/>
      <c r="N478" s="44"/>
      <c r="O478" s="36"/>
      <c r="P478" s="36"/>
      <c r="Q478" s="36"/>
      <c r="R478" s="36"/>
      <c r="S478" s="36"/>
      <c r="T478" s="38"/>
      <c r="U478" s="38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  <c r="AF478" s="37"/>
      <c r="AG478" s="37"/>
      <c r="AH478" s="37"/>
      <c r="AI478" s="37"/>
      <c r="AJ478" s="37"/>
      <c r="AK478" s="37"/>
      <c r="AL478" s="37"/>
      <c r="AM478" s="37"/>
      <c r="AN478" s="37"/>
      <c r="AO478" s="37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7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8"/>
      <c r="CZ478" s="38"/>
      <c r="DA478" s="13"/>
      <c r="DB478" s="13"/>
      <c r="DC478" s="13"/>
      <c r="DD478" s="13"/>
      <c r="DE478" s="13"/>
      <c r="DF478" s="13"/>
      <c r="DG478" s="13"/>
      <c r="DH478" s="13"/>
      <c r="DI478" s="13"/>
    </row>
    <row r="479" spans="2:113" ht="18" customHeight="1" x14ac:dyDescent="0.4">
      <c r="B479" s="27">
        <f t="shared" si="29"/>
        <v>468</v>
      </c>
      <c r="C479" s="28"/>
      <c r="D479" s="29"/>
      <c r="E479" s="29"/>
      <c r="F479" s="30"/>
      <c r="G479" s="31"/>
      <c r="H479" s="39"/>
      <c r="I479" s="32" t="str">
        <f t="shared" si="28"/>
        <v/>
      </c>
      <c r="J479" s="33"/>
      <c r="K479" s="33"/>
      <c r="L479" s="40"/>
      <c r="M479" s="40"/>
      <c r="N479" s="44"/>
      <c r="O479" s="36"/>
      <c r="P479" s="36"/>
      <c r="Q479" s="36"/>
      <c r="R479" s="36"/>
      <c r="S479" s="36"/>
      <c r="T479" s="38"/>
      <c r="U479" s="38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  <c r="AF479" s="37"/>
      <c r="AG479" s="37"/>
      <c r="AH479" s="37"/>
      <c r="AI479" s="37"/>
      <c r="AJ479" s="37"/>
      <c r="AK479" s="37"/>
      <c r="AL479" s="37"/>
      <c r="AM479" s="37"/>
      <c r="AN479" s="37"/>
      <c r="AO479" s="37"/>
      <c r="AP479" s="37"/>
      <c r="AQ479" s="37"/>
      <c r="AR479" s="37"/>
      <c r="AS479" s="37"/>
      <c r="AT479" s="37"/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  <c r="BE479" s="37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8"/>
      <c r="CZ479" s="38"/>
      <c r="DA479" s="13"/>
      <c r="DB479" s="13"/>
      <c r="DC479" s="13"/>
      <c r="DD479" s="13"/>
      <c r="DE479" s="13"/>
      <c r="DF479" s="13"/>
      <c r="DG479" s="13"/>
      <c r="DH479" s="13"/>
      <c r="DI479" s="13"/>
    </row>
    <row r="480" spans="2:113" ht="18" customHeight="1" x14ac:dyDescent="0.4">
      <c r="B480" s="27">
        <f t="shared" si="29"/>
        <v>469</v>
      </c>
      <c r="C480" s="28"/>
      <c r="D480" s="29"/>
      <c r="E480" s="29"/>
      <c r="F480" s="30"/>
      <c r="G480" s="31"/>
      <c r="H480" s="39"/>
      <c r="I480" s="32" t="str">
        <f t="shared" si="28"/>
        <v/>
      </c>
      <c r="J480" s="33"/>
      <c r="K480" s="33"/>
      <c r="L480" s="34"/>
      <c r="M480" s="34"/>
      <c r="N480" s="36"/>
      <c r="O480" s="36"/>
      <c r="P480" s="36"/>
      <c r="Q480" s="36"/>
      <c r="R480" s="38"/>
      <c r="S480" s="38"/>
      <c r="T480" s="36"/>
      <c r="U480" s="36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8"/>
      <c r="CZ480" s="38"/>
      <c r="DA480" s="13"/>
      <c r="DB480" s="13"/>
      <c r="DC480" s="13"/>
      <c r="DD480" s="13"/>
      <c r="DE480" s="13"/>
      <c r="DF480" s="13"/>
      <c r="DG480" s="13"/>
      <c r="DH480" s="13"/>
      <c r="DI480" s="13"/>
    </row>
    <row r="481" spans="2:113" ht="18" customHeight="1" x14ac:dyDescent="0.4">
      <c r="B481" s="27">
        <f t="shared" si="29"/>
        <v>470</v>
      </c>
      <c r="C481" s="28"/>
      <c r="D481" s="28"/>
      <c r="E481" s="29"/>
      <c r="F481" s="30"/>
      <c r="G481" s="31"/>
      <c r="H481" s="39"/>
      <c r="I481" s="32" t="str">
        <f t="shared" si="28"/>
        <v/>
      </c>
      <c r="J481" s="33"/>
      <c r="K481" s="33"/>
      <c r="L481" s="40"/>
      <c r="M481" s="40"/>
      <c r="N481" s="36"/>
      <c r="O481" s="36"/>
      <c r="P481" s="36"/>
      <c r="Q481" s="36"/>
      <c r="R481" s="38"/>
      <c r="S481" s="38"/>
      <c r="T481" s="36"/>
      <c r="U481" s="36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8"/>
      <c r="CZ481" s="38"/>
      <c r="DA481" s="13"/>
      <c r="DB481" s="13"/>
      <c r="DC481" s="13"/>
      <c r="DD481" s="13"/>
      <c r="DE481" s="13"/>
      <c r="DF481" s="13"/>
      <c r="DG481" s="13"/>
      <c r="DH481" s="13"/>
      <c r="DI481" s="13"/>
    </row>
    <row r="482" spans="2:113" ht="18" customHeight="1" x14ac:dyDescent="0.4">
      <c r="B482" s="27">
        <f t="shared" si="29"/>
        <v>471</v>
      </c>
      <c r="C482" s="28"/>
      <c r="D482" s="29"/>
      <c r="E482" s="29"/>
      <c r="F482" s="30"/>
      <c r="G482" s="31"/>
      <c r="H482" s="39"/>
      <c r="I482" s="32" t="str">
        <f t="shared" si="28"/>
        <v/>
      </c>
      <c r="J482" s="33"/>
      <c r="K482" s="33"/>
      <c r="L482" s="40"/>
      <c r="M482" s="40"/>
      <c r="N482" s="36"/>
      <c r="O482" s="36"/>
      <c r="P482" s="36"/>
      <c r="Q482" s="36"/>
      <c r="R482" s="38"/>
      <c r="S482" s="38"/>
      <c r="T482" s="36"/>
      <c r="U482" s="36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8"/>
      <c r="CZ482" s="38"/>
      <c r="DA482" s="13"/>
      <c r="DB482" s="13"/>
      <c r="DC482" s="13"/>
      <c r="DD482" s="13"/>
      <c r="DE482" s="13"/>
      <c r="DF482" s="13"/>
      <c r="DG482" s="13"/>
      <c r="DH482" s="13"/>
      <c r="DI482" s="13"/>
    </row>
    <row r="483" spans="2:113" ht="18" customHeight="1" x14ac:dyDescent="0.4">
      <c r="B483" s="27">
        <f t="shared" si="29"/>
        <v>472</v>
      </c>
      <c r="C483" s="28"/>
      <c r="D483" s="29"/>
      <c r="E483" s="29"/>
      <c r="F483" s="30"/>
      <c r="G483" s="31"/>
      <c r="H483" s="39"/>
      <c r="I483" s="32" t="str">
        <f t="shared" si="28"/>
        <v/>
      </c>
      <c r="J483" s="33"/>
      <c r="K483" s="33"/>
      <c r="L483" s="40"/>
      <c r="M483" s="40"/>
      <c r="N483" s="36"/>
      <c r="O483" s="36"/>
      <c r="P483" s="36"/>
      <c r="Q483" s="36"/>
      <c r="R483" s="38"/>
      <c r="S483" s="38"/>
      <c r="T483" s="36"/>
      <c r="U483" s="36"/>
      <c r="V483" s="42"/>
      <c r="W483" s="42"/>
      <c r="X483" s="42"/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/>
      <c r="BE483" s="42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8"/>
      <c r="CZ483" s="38"/>
      <c r="DA483" s="13"/>
      <c r="DB483" s="13"/>
      <c r="DC483" s="13"/>
      <c r="DD483" s="13"/>
      <c r="DE483" s="13"/>
      <c r="DF483" s="13"/>
      <c r="DG483" s="13"/>
      <c r="DH483" s="13"/>
      <c r="DI483" s="13"/>
    </row>
    <row r="484" spans="2:113" ht="18" customHeight="1" x14ac:dyDescent="0.4">
      <c r="B484" s="27">
        <f t="shared" si="29"/>
        <v>473</v>
      </c>
      <c r="C484" s="28"/>
      <c r="D484" s="29"/>
      <c r="E484" s="29"/>
      <c r="F484" s="30"/>
      <c r="G484" s="31"/>
      <c r="H484" s="39"/>
      <c r="I484" s="32" t="str">
        <f t="shared" si="28"/>
        <v/>
      </c>
      <c r="J484" s="33"/>
      <c r="K484" s="33"/>
      <c r="L484" s="34"/>
      <c r="M484" s="34"/>
      <c r="N484" s="36"/>
      <c r="O484" s="36"/>
      <c r="P484" s="36"/>
      <c r="Q484" s="36"/>
      <c r="R484" s="38"/>
      <c r="S484" s="38"/>
      <c r="T484" s="38"/>
      <c r="U484" s="38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  <c r="AF484" s="37"/>
      <c r="AG484" s="37"/>
      <c r="AH484" s="37"/>
      <c r="AI484" s="37"/>
      <c r="AJ484" s="37"/>
      <c r="AK484" s="37"/>
      <c r="AL484" s="37"/>
      <c r="AM484" s="37"/>
      <c r="AN484" s="37"/>
      <c r="AO484" s="37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7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50"/>
      <c r="BY484" s="50"/>
      <c r="BZ484" s="50"/>
      <c r="CA484" s="50"/>
      <c r="CB484" s="50"/>
      <c r="CC484" s="36"/>
      <c r="CD484" s="36"/>
      <c r="CE484" s="50"/>
      <c r="CF484" s="50"/>
      <c r="CG484" s="50"/>
      <c r="CH484" s="50"/>
      <c r="CI484" s="50"/>
      <c r="CJ484" s="36"/>
      <c r="CK484" s="36"/>
      <c r="CL484" s="50"/>
      <c r="CM484" s="50"/>
      <c r="CN484" s="50"/>
      <c r="CO484" s="50"/>
      <c r="CP484" s="50"/>
      <c r="CQ484" s="36"/>
      <c r="CR484" s="36"/>
      <c r="CS484" s="39"/>
      <c r="CT484" s="39"/>
      <c r="CU484" s="39"/>
      <c r="CV484" s="39"/>
      <c r="CW484" s="39"/>
      <c r="CX484" s="36"/>
      <c r="CY484" s="38"/>
      <c r="CZ484" s="38"/>
      <c r="DA484" s="13"/>
      <c r="DB484" s="13"/>
      <c r="DC484" s="13"/>
      <c r="DD484" s="13"/>
      <c r="DE484" s="13"/>
      <c r="DF484" s="13"/>
      <c r="DG484" s="13"/>
      <c r="DH484" s="13"/>
      <c r="DI484" s="13"/>
    </row>
    <row r="485" spans="2:113" ht="18" customHeight="1" x14ac:dyDescent="0.4">
      <c r="B485" s="27">
        <f t="shared" si="29"/>
        <v>474</v>
      </c>
      <c r="C485" s="28"/>
      <c r="D485" s="29"/>
      <c r="E485" s="29"/>
      <c r="F485" s="30"/>
      <c r="G485" s="31"/>
      <c r="H485" s="43"/>
      <c r="I485" s="32" t="str">
        <f t="shared" si="28"/>
        <v/>
      </c>
      <c r="J485" s="33"/>
      <c r="K485" s="33"/>
      <c r="L485" s="40"/>
      <c r="M485" s="40"/>
      <c r="N485" s="36"/>
      <c r="O485" s="36"/>
      <c r="P485" s="36"/>
      <c r="Q485" s="36"/>
      <c r="R485" s="38"/>
      <c r="S485" s="38"/>
      <c r="T485" s="38"/>
      <c r="U485" s="38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  <c r="AF485" s="37"/>
      <c r="AG485" s="37"/>
      <c r="AH485" s="37"/>
      <c r="AI485" s="37"/>
      <c r="AJ485" s="37"/>
      <c r="AK485" s="37"/>
      <c r="AL485" s="37"/>
      <c r="AM485" s="37"/>
      <c r="AN485" s="37"/>
      <c r="AO485" s="37"/>
      <c r="AP485" s="37"/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50"/>
      <c r="BG485" s="50"/>
      <c r="BH485" s="36"/>
      <c r="BI485" s="36"/>
      <c r="BJ485" s="50"/>
      <c r="BK485" s="50"/>
      <c r="BL485" s="50"/>
      <c r="BM485" s="50"/>
      <c r="BN485" s="50"/>
      <c r="BO485" s="36"/>
      <c r="BP485" s="36"/>
      <c r="BQ485" s="36"/>
      <c r="BR485" s="36"/>
      <c r="BS485" s="36"/>
      <c r="BT485" s="36"/>
      <c r="BU485" s="36"/>
      <c r="BV485" s="36"/>
      <c r="BW485" s="36"/>
      <c r="BX485" s="36"/>
      <c r="BY485" s="36"/>
      <c r="BZ485" s="36"/>
      <c r="CA485" s="36"/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8"/>
      <c r="CZ485" s="38"/>
      <c r="DA485" s="13"/>
      <c r="DB485" s="13"/>
      <c r="DC485" s="13"/>
      <c r="DD485" s="13"/>
      <c r="DE485" s="13"/>
      <c r="DF485" s="13"/>
      <c r="DG485" s="13"/>
      <c r="DH485" s="13"/>
      <c r="DI485" s="13"/>
    </row>
    <row r="486" spans="2:113" ht="18" customHeight="1" x14ac:dyDescent="0.4">
      <c r="B486" s="27">
        <f t="shared" si="29"/>
        <v>475</v>
      </c>
      <c r="C486" s="28"/>
      <c r="D486" s="29"/>
      <c r="E486" s="29"/>
      <c r="F486" s="30"/>
      <c r="G486" s="31"/>
      <c r="H486" s="39"/>
      <c r="I486" s="32" t="str">
        <f t="shared" si="28"/>
        <v/>
      </c>
      <c r="J486" s="33"/>
      <c r="K486" s="33"/>
      <c r="L486" s="40"/>
      <c r="M486" s="40"/>
      <c r="N486" s="36"/>
      <c r="O486" s="36"/>
      <c r="P486" s="36"/>
      <c r="Q486" s="36"/>
      <c r="R486" s="38"/>
      <c r="S486" s="38"/>
      <c r="T486" s="52"/>
      <c r="U486" s="5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/>
      <c r="BE486" s="42"/>
      <c r="BF486" s="39"/>
      <c r="BG486" s="39"/>
      <c r="BH486" s="36"/>
      <c r="BI486" s="36"/>
      <c r="BJ486" s="39"/>
      <c r="BK486" s="39"/>
      <c r="BL486" s="39"/>
      <c r="BM486" s="39"/>
      <c r="BN486" s="39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/>
      <c r="CP486" s="36"/>
      <c r="CQ486" s="36"/>
      <c r="CR486" s="36"/>
      <c r="CS486" s="36"/>
      <c r="CT486" s="36"/>
      <c r="CU486" s="36"/>
      <c r="CV486" s="36"/>
      <c r="CW486" s="36"/>
      <c r="CX486" s="36"/>
      <c r="CY486" s="38"/>
      <c r="CZ486" s="38"/>
      <c r="DA486" s="13"/>
      <c r="DB486" s="13"/>
      <c r="DC486" s="13"/>
      <c r="DD486" s="13"/>
      <c r="DE486" s="13"/>
      <c r="DF486" s="13"/>
      <c r="DG486" s="13"/>
      <c r="DH486" s="13"/>
      <c r="DI486" s="13"/>
    </row>
    <row r="487" spans="2:113" ht="18" customHeight="1" x14ac:dyDescent="0.4">
      <c r="B487" s="27">
        <f t="shared" si="29"/>
        <v>476</v>
      </c>
      <c r="C487" s="28"/>
      <c r="D487" s="28"/>
      <c r="E487" s="29"/>
      <c r="F487" s="30"/>
      <c r="G487" s="31"/>
      <c r="H487" s="43"/>
      <c r="I487" s="32" t="str">
        <f t="shared" si="28"/>
        <v/>
      </c>
      <c r="J487" s="33"/>
      <c r="K487" s="33"/>
      <c r="L487" s="34"/>
      <c r="M487" s="34"/>
      <c r="N487" s="44"/>
      <c r="O487" s="36"/>
      <c r="P487" s="36"/>
      <c r="Q487" s="36"/>
      <c r="R487" s="36"/>
      <c r="S487" s="36"/>
      <c r="T487" s="38"/>
      <c r="U487" s="38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8"/>
      <c r="CZ487" s="38"/>
      <c r="DA487" s="13"/>
      <c r="DB487" s="13"/>
      <c r="DC487" s="13"/>
      <c r="DD487" s="13"/>
      <c r="DE487" s="13"/>
      <c r="DF487" s="13"/>
      <c r="DG487" s="13"/>
      <c r="DH487" s="13"/>
      <c r="DI487" s="13"/>
    </row>
    <row r="488" spans="2:113" ht="18" customHeight="1" x14ac:dyDescent="0.4">
      <c r="B488" s="27">
        <f t="shared" si="29"/>
        <v>477</v>
      </c>
      <c r="C488" s="28"/>
      <c r="D488" s="29"/>
      <c r="E488" s="29"/>
      <c r="F488" s="30"/>
      <c r="G488" s="31"/>
      <c r="H488" s="45"/>
      <c r="I488" s="32" t="str">
        <f t="shared" si="28"/>
        <v/>
      </c>
      <c r="J488" s="33"/>
      <c r="K488" s="33"/>
      <c r="L488" s="46"/>
      <c r="M488" s="46"/>
      <c r="N488" s="36"/>
      <c r="O488" s="36"/>
      <c r="P488" s="36"/>
      <c r="Q488" s="36"/>
      <c r="R488" s="38"/>
      <c r="S488" s="38"/>
      <c r="T488" s="52"/>
      <c r="U488" s="5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8"/>
      <c r="CZ488" s="38"/>
      <c r="DA488" s="13"/>
      <c r="DB488" s="13"/>
      <c r="DC488" s="13"/>
      <c r="DD488" s="13"/>
      <c r="DE488" s="13"/>
      <c r="DF488" s="13"/>
      <c r="DG488" s="13"/>
      <c r="DH488" s="13"/>
      <c r="DI488" s="13"/>
    </row>
    <row r="489" spans="2:113" ht="18" customHeight="1" x14ac:dyDescent="0.4">
      <c r="B489" s="27">
        <f t="shared" si="29"/>
        <v>478</v>
      </c>
      <c r="C489" s="28"/>
      <c r="D489" s="29"/>
      <c r="E489" s="29"/>
      <c r="F489" s="30"/>
      <c r="G489" s="31"/>
      <c r="H489" s="45"/>
      <c r="I489" s="32" t="str">
        <f t="shared" si="28"/>
        <v/>
      </c>
      <c r="J489" s="33"/>
      <c r="K489" s="33"/>
      <c r="L489" s="46"/>
      <c r="M489" s="46"/>
      <c r="N489" s="41"/>
      <c r="O489" s="36"/>
      <c r="P489" s="36"/>
      <c r="Q489" s="41"/>
      <c r="R489" s="38"/>
      <c r="S489" s="38"/>
      <c r="T489" s="38"/>
      <c r="U489" s="38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37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2"/>
      <c r="AY489" s="42"/>
      <c r="AZ489" s="42"/>
      <c r="BA489" s="42"/>
      <c r="BB489" s="42"/>
      <c r="BC489" s="42"/>
      <c r="BD489" s="42"/>
      <c r="BE489" s="42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8"/>
      <c r="CZ489" s="38"/>
      <c r="DA489" s="13"/>
      <c r="DB489" s="13"/>
      <c r="DC489" s="13"/>
      <c r="DD489" s="13"/>
      <c r="DE489" s="13"/>
      <c r="DF489" s="13"/>
      <c r="DG489" s="13"/>
      <c r="DH489" s="13"/>
      <c r="DI489" s="13"/>
    </row>
    <row r="490" spans="2:113" ht="18" customHeight="1" x14ac:dyDescent="0.4">
      <c r="B490" s="27">
        <f t="shared" si="29"/>
        <v>479</v>
      </c>
      <c r="C490" s="28"/>
      <c r="D490" s="28"/>
      <c r="E490" s="29"/>
      <c r="F490" s="30"/>
      <c r="G490" s="31"/>
      <c r="H490" s="43"/>
      <c r="I490" s="32" t="str">
        <f t="shared" si="28"/>
        <v/>
      </c>
      <c r="J490" s="33"/>
      <c r="K490" s="33"/>
      <c r="L490" s="34"/>
      <c r="M490" s="34"/>
      <c r="N490" s="36"/>
      <c r="O490" s="36"/>
      <c r="P490" s="36"/>
      <c r="Q490" s="36"/>
      <c r="R490" s="38"/>
      <c r="S490" s="38"/>
      <c r="T490" s="38"/>
      <c r="U490" s="38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  <c r="AF490" s="37"/>
      <c r="AG490" s="37"/>
      <c r="AH490" s="37"/>
      <c r="AI490" s="37"/>
      <c r="AJ490" s="37"/>
      <c r="AK490" s="37"/>
      <c r="AL490" s="37"/>
      <c r="AM490" s="37"/>
      <c r="AN490" s="37"/>
      <c r="AO490" s="37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  <c r="BE490" s="37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8"/>
      <c r="CZ490" s="38"/>
      <c r="DA490" s="13"/>
      <c r="DB490" s="13"/>
      <c r="DC490" s="13"/>
      <c r="DD490" s="13"/>
      <c r="DE490" s="13"/>
      <c r="DF490" s="13"/>
      <c r="DG490" s="13"/>
      <c r="DH490" s="13"/>
      <c r="DI490" s="13"/>
    </row>
    <row r="491" spans="2:113" ht="18" customHeight="1" x14ac:dyDescent="0.4">
      <c r="B491" s="27">
        <f t="shared" si="29"/>
        <v>480</v>
      </c>
      <c r="C491" s="28"/>
      <c r="D491" s="28"/>
      <c r="E491" s="29"/>
      <c r="F491" s="30"/>
      <c r="G491" s="31"/>
      <c r="H491" s="39"/>
      <c r="I491" s="32" t="str">
        <f t="shared" si="28"/>
        <v/>
      </c>
      <c r="J491" s="33"/>
      <c r="K491" s="33"/>
      <c r="L491" s="34"/>
      <c r="M491" s="34"/>
      <c r="N491" s="47"/>
      <c r="O491" s="36"/>
      <c r="P491" s="36"/>
      <c r="Q491" s="36"/>
      <c r="R491" s="38"/>
      <c r="S491" s="38"/>
      <c r="T491" s="38"/>
      <c r="U491" s="38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  <c r="AF491" s="37"/>
      <c r="AG491" s="37"/>
      <c r="AH491" s="37"/>
      <c r="AI491" s="37"/>
      <c r="AJ491" s="37"/>
      <c r="AK491" s="37"/>
      <c r="AL491" s="37"/>
      <c r="AM491" s="37"/>
      <c r="AN491" s="37"/>
      <c r="AO491" s="37"/>
      <c r="AP491" s="37"/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7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8"/>
      <c r="CZ491" s="38"/>
      <c r="DA491" s="13"/>
      <c r="DB491" s="13"/>
      <c r="DC491" s="13"/>
      <c r="DD491" s="13"/>
      <c r="DE491" s="13"/>
      <c r="DF491" s="13"/>
      <c r="DG491" s="13"/>
      <c r="DH491" s="13"/>
      <c r="DI491" s="13"/>
    </row>
    <row r="492" spans="2:113" ht="18" customHeight="1" x14ac:dyDescent="0.4">
      <c r="B492" s="27">
        <f t="shared" si="29"/>
        <v>481</v>
      </c>
      <c r="C492" s="28"/>
      <c r="D492" s="28"/>
      <c r="E492" s="29"/>
      <c r="F492" s="30"/>
      <c r="G492" s="31"/>
      <c r="H492" s="43"/>
      <c r="I492" s="32" t="str">
        <f t="shared" si="28"/>
        <v/>
      </c>
      <c r="J492" s="33"/>
      <c r="K492" s="33"/>
      <c r="L492" s="34"/>
      <c r="M492" s="34"/>
      <c r="N492" s="36"/>
      <c r="O492" s="36"/>
      <c r="P492" s="36"/>
      <c r="Q492" s="36"/>
      <c r="R492" s="38"/>
      <c r="S492" s="38"/>
      <c r="T492" s="53"/>
      <c r="U492" s="53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  <c r="AF492" s="37"/>
      <c r="AG492" s="37"/>
      <c r="AH492" s="37"/>
      <c r="AI492" s="37"/>
      <c r="AJ492" s="37"/>
      <c r="AK492" s="37"/>
      <c r="AL492" s="37"/>
      <c r="AM492" s="37"/>
      <c r="AN492" s="37"/>
      <c r="AO492" s="37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8"/>
      <c r="CZ492" s="38"/>
      <c r="DA492" s="13"/>
      <c r="DB492" s="13"/>
      <c r="DC492" s="13"/>
      <c r="DD492" s="13"/>
      <c r="DE492" s="13"/>
      <c r="DF492" s="13"/>
      <c r="DG492" s="13"/>
      <c r="DH492" s="13"/>
      <c r="DI492" s="13"/>
    </row>
    <row r="493" spans="2:113" ht="18" customHeight="1" x14ac:dyDescent="0.4">
      <c r="B493" s="27">
        <f t="shared" si="29"/>
        <v>482</v>
      </c>
      <c r="C493" s="28"/>
      <c r="D493" s="29"/>
      <c r="E493" s="29"/>
      <c r="F493" s="30"/>
      <c r="G493" s="31"/>
      <c r="H493" s="39"/>
      <c r="I493" s="32" t="str">
        <f t="shared" si="28"/>
        <v/>
      </c>
      <c r="J493" s="33"/>
      <c r="K493" s="33"/>
      <c r="L493" s="34"/>
      <c r="M493" s="34"/>
      <c r="N493" s="44"/>
      <c r="O493" s="36"/>
      <c r="P493" s="36"/>
      <c r="Q493" s="36"/>
      <c r="R493" s="38"/>
      <c r="S493" s="38"/>
      <c r="T493" s="38"/>
      <c r="U493" s="38"/>
      <c r="V493" s="42"/>
      <c r="W493" s="42"/>
      <c r="X493" s="42"/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8"/>
      <c r="CZ493" s="38"/>
      <c r="DA493" s="13"/>
      <c r="DB493" s="13"/>
      <c r="DC493" s="13"/>
      <c r="DD493" s="13"/>
      <c r="DE493" s="13"/>
      <c r="DF493" s="13"/>
      <c r="DG493" s="13"/>
      <c r="DH493" s="13"/>
      <c r="DI493" s="13"/>
    </row>
    <row r="494" spans="2:113" ht="18" customHeight="1" x14ac:dyDescent="0.4">
      <c r="B494" s="27">
        <f t="shared" si="29"/>
        <v>483</v>
      </c>
      <c r="C494" s="28"/>
      <c r="D494" s="29"/>
      <c r="E494" s="29"/>
      <c r="F494" s="30"/>
      <c r="G494" s="31"/>
      <c r="H494" s="43"/>
      <c r="I494" s="32" t="str">
        <f t="shared" ref="I494:I511" si="30">IF(G494&gt;0,H494/G494,"")</f>
        <v/>
      </c>
      <c r="J494" s="33"/>
      <c r="K494" s="33"/>
      <c r="L494" s="34"/>
      <c r="M494" s="34"/>
      <c r="N494" s="54"/>
      <c r="O494" s="54"/>
      <c r="P494" s="54"/>
      <c r="Q494" s="54"/>
      <c r="R494" s="38"/>
      <c r="S494" s="38"/>
      <c r="T494" s="38"/>
      <c r="U494" s="38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  <c r="AF494" s="37"/>
      <c r="AG494" s="37"/>
      <c r="AH494" s="37"/>
      <c r="AI494" s="37"/>
      <c r="AJ494" s="37"/>
      <c r="AK494" s="37"/>
      <c r="AL494" s="37"/>
      <c r="AM494" s="37"/>
      <c r="AN494" s="37"/>
      <c r="AO494" s="37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7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8"/>
      <c r="CZ494" s="38"/>
      <c r="DA494" s="13"/>
      <c r="DB494" s="13"/>
      <c r="DC494" s="13"/>
      <c r="DD494" s="13"/>
      <c r="DE494" s="13"/>
      <c r="DF494" s="13"/>
      <c r="DG494" s="13"/>
      <c r="DH494" s="13"/>
      <c r="DI494" s="13"/>
    </row>
    <row r="495" spans="2:113" ht="18" customHeight="1" x14ac:dyDescent="0.4">
      <c r="B495" s="27">
        <f t="shared" si="29"/>
        <v>484</v>
      </c>
      <c r="C495" s="28"/>
      <c r="D495" s="29"/>
      <c r="E495" s="29"/>
      <c r="F495" s="30"/>
      <c r="G495" s="31"/>
      <c r="H495" s="43"/>
      <c r="I495" s="32" t="str">
        <f t="shared" si="30"/>
        <v/>
      </c>
      <c r="J495" s="33"/>
      <c r="K495" s="33"/>
      <c r="L495" s="34"/>
      <c r="M495" s="34"/>
      <c r="N495" s="54"/>
      <c r="O495" s="54"/>
      <c r="P495" s="54"/>
      <c r="Q495" s="54"/>
      <c r="R495" s="38"/>
      <c r="S495" s="38"/>
      <c r="T495" s="54"/>
      <c r="U495" s="54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2"/>
      <c r="AY495" s="42"/>
      <c r="AZ495" s="42"/>
      <c r="BA495" s="42"/>
      <c r="BB495" s="42"/>
      <c r="BC495" s="42"/>
      <c r="BD495" s="42"/>
      <c r="BE495" s="42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8"/>
      <c r="CZ495" s="38"/>
      <c r="DA495" s="13"/>
      <c r="DB495" s="13"/>
      <c r="DC495" s="13"/>
      <c r="DD495" s="13"/>
      <c r="DE495" s="13"/>
      <c r="DF495" s="13"/>
      <c r="DG495" s="13"/>
      <c r="DH495" s="13"/>
      <c r="DI495" s="13"/>
    </row>
    <row r="496" spans="2:113" ht="18" customHeight="1" x14ac:dyDescent="0.4">
      <c r="B496" s="27">
        <f t="shared" si="29"/>
        <v>485</v>
      </c>
      <c r="C496" s="28"/>
      <c r="D496" s="29"/>
      <c r="E496" s="29"/>
      <c r="F496" s="30"/>
      <c r="G496" s="31"/>
      <c r="H496" s="39"/>
      <c r="I496" s="32" t="str">
        <f t="shared" si="30"/>
        <v/>
      </c>
      <c r="J496" s="33"/>
      <c r="K496" s="33"/>
      <c r="L496" s="40"/>
      <c r="M496" s="40"/>
      <c r="N496" s="44"/>
      <c r="O496" s="36"/>
      <c r="P496" s="36"/>
      <c r="Q496" s="36"/>
      <c r="R496" s="36"/>
      <c r="S496" s="36"/>
      <c r="T496" s="38"/>
      <c r="U496" s="38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  <c r="AF496" s="37"/>
      <c r="AG496" s="37"/>
      <c r="AH496" s="37"/>
      <c r="AI496" s="37"/>
      <c r="AJ496" s="37"/>
      <c r="AK496" s="37"/>
      <c r="AL496" s="37"/>
      <c r="AM496" s="37"/>
      <c r="AN496" s="37"/>
      <c r="AO496" s="37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7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8"/>
      <c r="CZ496" s="38"/>
      <c r="DA496" s="13"/>
      <c r="DB496" s="13"/>
      <c r="DC496" s="13"/>
      <c r="DD496" s="13"/>
      <c r="DE496" s="13"/>
      <c r="DF496" s="13"/>
      <c r="DG496" s="13"/>
      <c r="DH496" s="13"/>
      <c r="DI496" s="13"/>
    </row>
    <row r="497" spans="2:113" ht="18" customHeight="1" x14ac:dyDescent="0.4">
      <c r="B497" s="27">
        <f t="shared" si="29"/>
        <v>486</v>
      </c>
      <c r="C497" s="28"/>
      <c r="D497" s="29"/>
      <c r="E497" s="29"/>
      <c r="F497" s="30"/>
      <c r="G497" s="31"/>
      <c r="H497" s="39"/>
      <c r="I497" s="32" t="str">
        <f t="shared" si="30"/>
        <v/>
      </c>
      <c r="J497" s="33"/>
      <c r="K497" s="33"/>
      <c r="L497" s="40"/>
      <c r="M497" s="40"/>
      <c r="N497" s="36"/>
      <c r="O497" s="36"/>
      <c r="P497" s="36"/>
      <c r="Q497" s="36"/>
      <c r="R497" s="38"/>
      <c r="S497" s="38"/>
      <c r="T497" s="38"/>
      <c r="U497" s="38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  <c r="AF497" s="37"/>
      <c r="AG497" s="37"/>
      <c r="AH497" s="37"/>
      <c r="AI497" s="37"/>
      <c r="AJ497" s="37"/>
      <c r="AK497" s="37"/>
      <c r="AL497" s="37"/>
      <c r="AM497" s="37"/>
      <c r="AN497" s="37"/>
      <c r="AO497" s="37"/>
      <c r="AP497" s="37"/>
      <c r="AQ497" s="37"/>
      <c r="AR497" s="37"/>
      <c r="AS497" s="37"/>
      <c r="AT497" s="37"/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7"/>
      <c r="BF497" s="50"/>
      <c r="BG497" s="50"/>
      <c r="BH497" s="36"/>
      <c r="BI497" s="36"/>
      <c r="BJ497" s="50"/>
      <c r="BK497" s="50"/>
      <c r="BL497" s="50"/>
      <c r="BM497" s="50"/>
      <c r="BN497" s="50"/>
      <c r="BO497" s="36"/>
      <c r="BP497" s="36"/>
      <c r="BQ497" s="39"/>
      <c r="BR497" s="39"/>
      <c r="BS497" s="39"/>
      <c r="BT497" s="39"/>
      <c r="BU497" s="39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8"/>
      <c r="CZ497" s="38"/>
      <c r="DA497" s="13"/>
      <c r="DB497" s="13"/>
      <c r="DC497" s="13"/>
      <c r="DD497" s="13"/>
      <c r="DE497" s="13"/>
      <c r="DF497" s="13"/>
      <c r="DG497" s="13"/>
      <c r="DH497" s="13"/>
      <c r="DI497" s="13"/>
    </row>
    <row r="498" spans="2:113" ht="18" customHeight="1" x14ac:dyDescent="0.4">
      <c r="B498" s="27">
        <f t="shared" si="29"/>
        <v>487</v>
      </c>
      <c r="C498" s="28"/>
      <c r="D498" s="29"/>
      <c r="E498" s="29"/>
      <c r="F498" s="30"/>
      <c r="G498" s="31"/>
      <c r="H498" s="39"/>
      <c r="I498" s="32" t="str">
        <f t="shared" si="30"/>
        <v/>
      </c>
      <c r="J498" s="33"/>
      <c r="K498" s="33"/>
      <c r="L498" s="40"/>
      <c r="M498" s="40"/>
      <c r="N498" s="36"/>
      <c r="O498" s="41"/>
      <c r="P498" s="41"/>
      <c r="Q498" s="41"/>
      <c r="R498" s="38"/>
      <c r="S498" s="38"/>
      <c r="T498" s="38"/>
      <c r="U498" s="38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  <c r="AF498" s="37"/>
      <c r="AG498" s="37"/>
      <c r="AH498" s="37"/>
      <c r="AI498" s="37"/>
      <c r="AJ498" s="37"/>
      <c r="AK498" s="37"/>
      <c r="AL498" s="37"/>
      <c r="AM498" s="37"/>
      <c r="AN498" s="37"/>
      <c r="AO498" s="37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8"/>
      <c r="CZ498" s="38"/>
      <c r="DA498" s="13"/>
      <c r="DB498" s="13"/>
      <c r="DC498" s="13"/>
      <c r="DD498" s="13"/>
      <c r="DE498" s="13"/>
      <c r="DF498" s="13"/>
      <c r="DG498" s="13"/>
      <c r="DH498" s="13"/>
      <c r="DI498" s="13"/>
    </row>
    <row r="499" spans="2:113" ht="18" customHeight="1" x14ac:dyDescent="0.4">
      <c r="B499" s="27">
        <f t="shared" si="29"/>
        <v>488</v>
      </c>
      <c r="C499" s="28"/>
      <c r="D499" s="29"/>
      <c r="E499" s="29"/>
      <c r="F499" s="30"/>
      <c r="G499" s="31"/>
      <c r="H499" s="39"/>
      <c r="I499" s="32" t="str">
        <f t="shared" si="30"/>
        <v/>
      </c>
      <c r="J499" s="33"/>
      <c r="K499" s="33"/>
      <c r="L499" s="34"/>
      <c r="M499" s="34"/>
      <c r="N499" s="36"/>
      <c r="O499" s="36"/>
      <c r="P499" s="36"/>
      <c r="Q499" s="36"/>
      <c r="R499" s="38"/>
      <c r="S499" s="38"/>
      <c r="T499" s="52"/>
      <c r="U499" s="52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  <c r="AF499" s="37"/>
      <c r="AG499" s="37"/>
      <c r="AH499" s="37"/>
      <c r="AI499" s="37"/>
      <c r="AJ499" s="37"/>
      <c r="AK499" s="37"/>
      <c r="AL499" s="37"/>
      <c r="AM499" s="37"/>
      <c r="AN499" s="37"/>
      <c r="AO499" s="37"/>
      <c r="AP499" s="37"/>
      <c r="AQ499" s="37"/>
      <c r="AR499" s="37"/>
      <c r="AS499" s="37"/>
      <c r="AT499" s="37"/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  <c r="BE499" s="37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8"/>
      <c r="CZ499" s="38"/>
      <c r="DA499" s="13"/>
      <c r="DB499" s="13"/>
      <c r="DC499" s="13"/>
      <c r="DD499" s="13"/>
      <c r="DE499" s="13"/>
      <c r="DF499" s="13"/>
      <c r="DG499" s="13"/>
      <c r="DH499" s="13"/>
      <c r="DI499" s="13"/>
    </row>
    <row r="500" spans="2:113" ht="18" customHeight="1" x14ac:dyDescent="0.4">
      <c r="B500" s="27">
        <f t="shared" si="29"/>
        <v>489</v>
      </c>
      <c r="C500" s="28"/>
      <c r="D500" s="29"/>
      <c r="E500" s="29"/>
      <c r="F500" s="30"/>
      <c r="G500" s="31"/>
      <c r="H500" s="39"/>
      <c r="I500" s="32" t="str">
        <f t="shared" si="30"/>
        <v/>
      </c>
      <c r="J500" s="33"/>
      <c r="K500" s="33"/>
      <c r="L500" s="40"/>
      <c r="M500" s="40"/>
      <c r="N500" s="36"/>
      <c r="O500" s="36"/>
      <c r="P500" s="36"/>
      <c r="Q500" s="36"/>
      <c r="R500" s="38"/>
      <c r="S500" s="38"/>
      <c r="T500" s="52"/>
      <c r="U500" s="52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  <c r="AF500" s="37"/>
      <c r="AG500" s="37"/>
      <c r="AH500" s="37"/>
      <c r="AI500" s="37"/>
      <c r="AJ500" s="37"/>
      <c r="AK500" s="37"/>
      <c r="AL500" s="37"/>
      <c r="AM500" s="37"/>
      <c r="AN500" s="37"/>
      <c r="AO500" s="37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7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8"/>
      <c r="CZ500" s="38"/>
      <c r="DA500" s="13"/>
      <c r="DB500" s="13"/>
      <c r="DC500" s="13"/>
      <c r="DD500" s="13"/>
      <c r="DE500" s="13"/>
      <c r="DF500" s="13"/>
      <c r="DG500" s="13"/>
      <c r="DH500" s="13"/>
      <c r="DI500" s="13"/>
    </row>
    <row r="501" spans="2:113" ht="18" customHeight="1" x14ac:dyDescent="0.4">
      <c r="B501" s="27">
        <f t="shared" si="29"/>
        <v>490</v>
      </c>
      <c r="C501" s="28"/>
      <c r="D501" s="29"/>
      <c r="E501" s="29"/>
      <c r="F501" s="30"/>
      <c r="G501" s="31"/>
      <c r="H501" s="39"/>
      <c r="I501" s="32" t="str">
        <f t="shared" si="30"/>
        <v/>
      </c>
      <c r="J501" s="33"/>
      <c r="K501" s="33"/>
      <c r="L501" s="34"/>
      <c r="M501" s="34"/>
      <c r="N501" s="48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49"/>
      <c r="AG501" s="49"/>
      <c r="AH501" s="49"/>
      <c r="AI501" s="49"/>
      <c r="AJ501" s="49"/>
      <c r="AK501" s="49"/>
      <c r="AL501" s="49"/>
      <c r="AM501" s="49"/>
      <c r="AN501" s="49"/>
      <c r="AO501" s="49"/>
      <c r="AP501" s="49"/>
      <c r="AQ501" s="49"/>
      <c r="AR501" s="49"/>
      <c r="AS501" s="49"/>
      <c r="AT501" s="49"/>
      <c r="AU501" s="49"/>
      <c r="AV501" s="49"/>
      <c r="AW501" s="49"/>
      <c r="AX501" s="49"/>
      <c r="AY501" s="49"/>
      <c r="AZ501" s="49"/>
      <c r="BA501" s="49"/>
      <c r="BB501" s="49"/>
      <c r="BC501" s="49"/>
      <c r="BD501" s="49"/>
      <c r="BE501" s="49"/>
      <c r="BF501" s="49"/>
      <c r="BG501" s="49"/>
      <c r="BH501" s="49"/>
      <c r="BI501" s="49"/>
      <c r="BJ501" s="49"/>
      <c r="BK501" s="49"/>
      <c r="BL501" s="49"/>
      <c r="BM501" s="49"/>
      <c r="BN501" s="49"/>
      <c r="BO501" s="49"/>
      <c r="BP501" s="49"/>
      <c r="BQ501" s="49"/>
      <c r="BR501" s="49"/>
      <c r="BS501" s="49"/>
      <c r="BT501" s="49"/>
      <c r="BU501" s="49"/>
      <c r="BV501" s="49"/>
      <c r="BW501" s="49"/>
      <c r="BX501" s="49"/>
      <c r="BY501" s="49"/>
      <c r="BZ501" s="49"/>
      <c r="CA501" s="49"/>
      <c r="CB501" s="49"/>
      <c r="CC501" s="49"/>
      <c r="CD501" s="49"/>
      <c r="CE501" s="49"/>
      <c r="CF501" s="49"/>
      <c r="CG501" s="49"/>
      <c r="CH501" s="49"/>
      <c r="CI501" s="49"/>
      <c r="CJ501" s="49"/>
      <c r="CK501" s="49"/>
      <c r="CL501" s="49"/>
      <c r="CM501" s="49"/>
      <c r="CN501" s="49"/>
      <c r="CO501" s="49"/>
      <c r="CP501" s="49"/>
      <c r="CQ501" s="49"/>
      <c r="CR501" s="49"/>
      <c r="CS501" s="49"/>
      <c r="CT501" s="49"/>
      <c r="CU501" s="49"/>
      <c r="CV501" s="49"/>
      <c r="CW501" s="49"/>
      <c r="CX501" s="49"/>
      <c r="CY501" s="49"/>
      <c r="CZ501" s="49"/>
    </row>
    <row r="502" spans="2:113" ht="18" customHeight="1" x14ac:dyDescent="0.4">
      <c r="B502" s="27">
        <f t="shared" si="29"/>
        <v>491</v>
      </c>
      <c r="C502" s="28"/>
      <c r="D502" s="29"/>
      <c r="E502" s="29"/>
      <c r="F502" s="30"/>
      <c r="G502" s="31"/>
      <c r="H502" s="45"/>
      <c r="I502" s="32" t="str">
        <f t="shared" si="30"/>
        <v/>
      </c>
      <c r="J502" s="33"/>
      <c r="K502" s="33"/>
      <c r="L502" s="46"/>
      <c r="M502" s="46"/>
      <c r="N502" s="48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49"/>
      <c r="AG502" s="49"/>
      <c r="AH502" s="49"/>
      <c r="AI502" s="49"/>
      <c r="AJ502" s="49"/>
      <c r="AK502" s="49"/>
      <c r="AL502" s="49"/>
      <c r="AM502" s="49"/>
      <c r="AN502" s="49"/>
      <c r="AO502" s="49"/>
      <c r="AP502" s="49"/>
      <c r="AQ502" s="49"/>
      <c r="AR502" s="49"/>
      <c r="AS502" s="49"/>
      <c r="AT502" s="49"/>
      <c r="AU502" s="49"/>
      <c r="AV502" s="49"/>
      <c r="AW502" s="49"/>
      <c r="AX502" s="49"/>
      <c r="AY502" s="49"/>
      <c r="AZ502" s="49"/>
      <c r="BA502" s="49"/>
      <c r="BB502" s="49"/>
      <c r="BC502" s="49"/>
      <c r="BD502" s="49"/>
      <c r="BE502" s="49"/>
      <c r="BF502" s="49"/>
      <c r="BG502" s="49"/>
      <c r="BH502" s="49"/>
      <c r="BI502" s="49"/>
      <c r="BJ502" s="49"/>
      <c r="BK502" s="49"/>
      <c r="BL502" s="49"/>
      <c r="BM502" s="49"/>
      <c r="BN502" s="49"/>
      <c r="BO502" s="49"/>
      <c r="BP502" s="49"/>
      <c r="BQ502" s="49"/>
      <c r="BR502" s="49"/>
      <c r="BS502" s="49"/>
      <c r="BT502" s="49"/>
      <c r="BU502" s="49"/>
      <c r="BV502" s="49"/>
      <c r="BW502" s="49"/>
      <c r="BX502" s="49"/>
      <c r="BY502" s="49"/>
      <c r="BZ502" s="49"/>
      <c r="CA502" s="49"/>
      <c r="CB502" s="49"/>
      <c r="CC502" s="49"/>
      <c r="CD502" s="49"/>
      <c r="CE502" s="49"/>
      <c r="CF502" s="49"/>
      <c r="CG502" s="49"/>
      <c r="CH502" s="49"/>
      <c r="CI502" s="49"/>
      <c r="CJ502" s="49"/>
      <c r="CK502" s="49"/>
      <c r="CL502" s="49"/>
      <c r="CM502" s="49"/>
      <c r="CN502" s="49"/>
      <c r="CO502" s="49"/>
      <c r="CP502" s="49"/>
      <c r="CQ502" s="49"/>
      <c r="CR502" s="49"/>
      <c r="CS502" s="49"/>
      <c r="CT502" s="49"/>
      <c r="CU502" s="49"/>
      <c r="CV502" s="49"/>
      <c r="CW502" s="49"/>
      <c r="CX502" s="49"/>
      <c r="CY502" s="49"/>
      <c r="CZ502" s="49"/>
    </row>
    <row r="503" spans="2:113" ht="18" customHeight="1" x14ac:dyDescent="0.4">
      <c r="B503" s="27">
        <f t="shared" si="29"/>
        <v>492</v>
      </c>
      <c r="C503" s="28"/>
      <c r="D503" s="29"/>
      <c r="E503" s="29"/>
      <c r="F503" s="30"/>
      <c r="G503" s="31"/>
      <c r="H503" s="39"/>
      <c r="I503" s="32" t="str">
        <f t="shared" si="30"/>
        <v/>
      </c>
      <c r="J503" s="33"/>
      <c r="K503" s="33"/>
      <c r="L503" s="40"/>
      <c r="M503" s="40"/>
      <c r="N503" s="44"/>
      <c r="O503" s="36"/>
      <c r="P503" s="36"/>
      <c r="Q503" s="36"/>
      <c r="R503" s="36"/>
      <c r="S503" s="36"/>
      <c r="T503" s="38"/>
      <c r="U503" s="38"/>
      <c r="V503" s="37"/>
      <c r="W503" s="37"/>
      <c r="X503" s="37"/>
      <c r="Y503" s="37"/>
      <c r="Z503" s="37"/>
      <c r="AA503" s="37"/>
      <c r="AB503" s="37"/>
      <c r="AC503" s="37"/>
      <c r="AD503" s="37"/>
      <c r="AE503" s="37"/>
      <c r="AF503" s="37"/>
      <c r="AG503" s="37"/>
      <c r="AH503" s="37"/>
      <c r="AI503" s="37"/>
      <c r="AJ503" s="37"/>
      <c r="AK503" s="37"/>
      <c r="AL503" s="37"/>
      <c r="AM503" s="37"/>
      <c r="AN503" s="37"/>
      <c r="AO503" s="37"/>
      <c r="AP503" s="37"/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8"/>
      <c r="CZ503" s="38"/>
      <c r="DA503" s="13"/>
      <c r="DB503" s="13"/>
      <c r="DC503" s="13"/>
      <c r="DD503" s="13"/>
      <c r="DE503" s="13"/>
      <c r="DF503" s="13"/>
      <c r="DG503" s="13"/>
      <c r="DH503" s="13"/>
      <c r="DI503" s="13"/>
    </row>
    <row r="504" spans="2:113" ht="18" customHeight="1" x14ac:dyDescent="0.4">
      <c r="B504" s="27">
        <f t="shared" si="29"/>
        <v>493</v>
      </c>
      <c r="C504" s="28"/>
      <c r="D504" s="28"/>
      <c r="E504" s="29"/>
      <c r="F504" s="30"/>
      <c r="G504" s="31"/>
      <c r="H504" s="39"/>
      <c r="I504" s="32" t="str">
        <f t="shared" si="30"/>
        <v/>
      </c>
      <c r="J504" s="33"/>
      <c r="K504" s="33"/>
      <c r="L504" s="40"/>
      <c r="M504" s="40"/>
      <c r="N504" s="48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49"/>
      <c r="AG504" s="49"/>
      <c r="AH504" s="49"/>
      <c r="AI504" s="49"/>
      <c r="AJ504" s="49"/>
      <c r="AK504" s="49"/>
      <c r="AL504" s="49"/>
      <c r="AM504" s="49"/>
      <c r="AN504" s="49"/>
      <c r="AO504" s="49"/>
      <c r="AP504" s="49"/>
      <c r="AQ504" s="49"/>
      <c r="AR504" s="49"/>
      <c r="AS504" s="49"/>
      <c r="AT504" s="49"/>
      <c r="AU504" s="49"/>
      <c r="AV504" s="49"/>
      <c r="AW504" s="49"/>
      <c r="AX504" s="49"/>
      <c r="AY504" s="49"/>
      <c r="AZ504" s="49"/>
      <c r="BA504" s="49"/>
      <c r="BB504" s="49"/>
      <c r="BC504" s="49"/>
      <c r="BD504" s="49"/>
      <c r="BE504" s="49"/>
      <c r="BF504" s="49"/>
      <c r="BG504" s="49"/>
      <c r="BH504" s="49"/>
      <c r="BI504" s="49"/>
      <c r="BJ504" s="49"/>
      <c r="BK504" s="49"/>
      <c r="BL504" s="49"/>
      <c r="BM504" s="49"/>
      <c r="BN504" s="49"/>
      <c r="BO504" s="49"/>
      <c r="BP504" s="49"/>
      <c r="BQ504" s="49"/>
      <c r="BR504" s="49"/>
      <c r="BS504" s="49"/>
      <c r="BT504" s="49"/>
      <c r="BU504" s="49"/>
      <c r="BV504" s="49"/>
      <c r="BW504" s="49"/>
      <c r="BX504" s="49"/>
      <c r="BY504" s="49"/>
      <c r="BZ504" s="49"/>
      <c r="CA504" s="49"/>
      <c r="CB504" s="49"/>
      <c r="CC504" s="49"/>
      <c r="CD504" s="49"/>
      <c r="CE504" s="49"/>
      <c r="CF504" s="49"/>
      <c r="CG504" s="49"/>
      <c r="CH504" s="49"/>
      <c r="CI504" s="49"/>
      <c r="CJ504" s="49"/>
      <c r="CK504" s="49"/>
      <c r="CL504" s="49"/>
      <c r="CM504" s="49"/>
      <c r="CN504" s="49"/>
      <c r="CO504" s="49"/>
      <c r="CP504" s="49"/>
      <c r="CQ504" s="49"/>
      <c r="CR504" s="49"/>
      <c r="CS504" s="49"/>
      <c r="CT504" s="49"/>
      <c r="CU504" s="49"/>
      <c r="CV504" s="49"/>
      <c r="CW504" s="49"/>
      <c r="CX504" s="49"/>
      <c r="CY504" s="49"/>
      <c r="CZ504" s="49"/>
    </row>
    <row r="505" spans="2:113" ht="18" customHeight="1" x14ac:dyDescent="0.4">
      <c r="B505" s="27">
        <f t="shared" si="29"/>
        <v>494</v>
      </c>
      <c r="C505" s="28"/>
      <c r="D505" s="28"/>
      <c r="E505" s="29"/>
      <c r="F505" s="30"/>
      <c r="G505" s="31"/>
      <c r="H505" s="39"/>
      <c r="I505" s="32" t="str">
        <f t="shared" si="30"/>
        <v/>
      </c>
      <c r="J505" s="33"/>
      <c r="K505" s="33"/>
      <c r="L505" s="34"/>
      <c r="M505" s="34"/>
      <c r="N505" s="48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49"/>
      <c r="AG505" s="49"/>
      <c r="AH505" s="49"/>
      <c r="AI505" s="49"/>
      <c r="AJ505" s="49"/>
      <c r="AK505" s="49"/>
      <c r="AL505" s="49"/>
      <c r="AM505" s="49"/>
      <c r="AN505" s="49"/>
      <c r="AO505" s="49"/>
      <c r="AP505" s="49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49"/>
      <c r="BB505" s="49"/>
      <c r="BC505" s="49"/>
      <c r="BD505" s="49"/>
      <c r="BE505" s="49"/>
      <c r="BF505" s="49"/>
      <c r="BG505" s="49"/>
      <c r="BH505" s="49"/>
      <c r="BI505" s="49"/>
      <c r="BJ505" s="49"/>
      <c r="BK505" s="49"/>
      <c r="BL505" s="49"/>
      <c r="BM505" s="49"/>
      <c r="BN505" s="49"/>
      <c r="BO505" s="49"/>
      <c r="BP505" s="49"/>
      <c r="BQ505" s="49"/>
      <c r="BR505" s="49"/>
      <c r="BS505" s="49"/>
      <c r="BT505" s="49"/>
      <c r="BU505" s="49"/>
      <c r="BV505" s="49"/>
      <c r="BW505" s="49"/>
      <c r="BX505" s="49"/>
      <c r="BY505" s="49"/>
      <c r="BZ505" s="49"/>
      <c r="CA505" s="49"/>
      <c r="CB505" s="49"/>
      <c r="CC505" s="49"/>
      <c r="CD505" s="49"/>
      <c r="CE505" s="49"/>
      <c r="CF505" s="49"/>
      <c r="CG505" s="49"/>
      <c r="CH505" s="49"/>
      <c r="CI505" s="49"/>
      <c r="CJ505" s="49"/>
      <c r="CK505" s="49"/>
      <c r="CL505" s="49"/>
      <c r="CM505" s="49"/>
      <c r="CN505" s="49"/>
      <c r="CO505" s="49"/>
      <c r="CP505" s="49"/>
      <c r="CQ505" s="49"/>
      <c r="CR505" s="49"/>
      <c r="CS505" s="49"/>
      <c r="CT505" s="49"/>
      <c r="CU505" s="49"/>
      <c r="CV505" s="49"/>
      <c r="CW505" s="49"/>
      <c r="CX505" s="49"/>
      <c r="CY505" s="49"/>
      <c r="CZ505" s="49"/>
    </row>
    <row r="506" spans="2:113" ht="18" customHeight="1" x14ac:dyDescent="0.4">
      <c r="B506" s="27">
        <f t="shared" si="29"/>
        <v>495</v>
      </c>
      <c r="C506" s="28"/>
      <c r="D506" s="28"/>
      <c r="E506" s="29"/>
      <c r="F506" s="30"/>
      <c r="G506" s="31"/>
      <c r="H506" s="45"/>
      <c r="I506" s="32" t="str">
        <f t="shared" si="30"/>
        <v/>
      </c>
      <c r="J506" s="33"/>
      <c r="K506" s="33"/>
      <c r="L506" s="46"/>
      <c r="M506" s="46"/>
      <c r="N506" s="48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49"/>
      <c r="AG506" s="49"/>
      <c r="AH506" s="49"/>
      <c r="AI506" s="49"/>
      <c r="AJ506" s="49"/>
      <c r="AK506" s="49"/>
      <c r="AL506" s="49"/>
      <c r="AM506" s="49"/>
      <c r="AN506" s="49"/>
      <c r="AO506" s="49"/>
      <c r="AP506" s="49"/>
      <c r="AQ506" s="49"/>
      <c r="AR506" s="49"/>
      <c r="AS506" s="49"/>
      <c r="AT506" s="49"/>
      <c r="AU506" s="49"/>
      <c r="AV506" s="49"/>
      <c r="AW506" s="49"/>
      <c r="AX506" s="49"/>
      <c r="AY506" s="49"/>
      <c r="AZ506" s="49"/>
      <c r="BA506" s="49"/>
      <c r="BB506" s="49"/>
      <c r="BC506" s="49"/>
      <c r="BD506" s="49"/>
      <c r="BE506" s="49"/>
      <c r="BF506" s="49"/>
      <c r="BG506" s="49"/>
      <c r="BH506" s="49"/>
      <c r="BI506" s="49"/>
      <c r="BJ506" s="49"/>
      <c r="BK506" s="49"/>
      <c r="BL506" s="49"/>
      <c r="BM506" s="49"/>
      <c r="BN506" s="49"/>
      <c r="BO506" s="49"/>
      <c r="BP506" s="49"/>
      <c r="BQ506" s="49"/>
      <c r="BR506" s="49"/>
      <c r="BS506" s="49"/>
      <c r="BT506" s="49"/>
      <c r="BU506" s="49"/>
      <c r="BV506" s="49"/>
      <c r="BW506" s="49"/>
      <c r="BX506" s="49"/>
      <c r="BY506" s="49"/>
      <c r="BZ506" s="49"/>
      <c r="CA506" s="49"/>
      <c r="CB506" s="49"/>
      <c r="CC506" s="49"/>
      <c r="CD506" s="49"/>
      <c r="CE506" s="49"/>
      <c r="CF506" s="49"/>
      <c r="CG506" s="49"/>
      <c r="CH506" s="49"/>
      <c r="CI506" s="49"/>
      <c r="CJ506" s="49"/>
      <c r="CK506" s="49"/>
      <c r="CL506" s="49"/>
      <c r="CM506" s="49"/>
      <c r="CN506" s="49"/>
      <c r="CO506" s="49"/>
      <c r="CP506" s="49"/>
      <c r="CQ506" s="49"/>
      <c r="CR506" s="49"/>
      <c r="CS506" s="49"/>
      <c r="CT506" s="49"/>
      <c r="CU506" s="49"/>
      <c r="CV506" s="49"/>
      <c r="CW506" s="49"/>
      <c r="CX506" s="49"/>
      <c r="CY506" s="49"/>
      <c r="CZ506" s="49"/>
    </row>
    <row r="507" spans="2:113" ht="18" customHeight="1" x14ac:dyDescent="0.4">
      <c r="B507" s="27">
        <f t="shared" si="29"/>
        <v>496</v>
      </c>
      <c r="C507" s="28"/>
      <c r="D507" s="28"/>
      <c r="E507" s="29"/>
      <c r="F507" s="30"/>
      <c r="G507" s="31"/>
      <c r="H507" s="45"/>
      <c r="I507" s="32" t="str">
        <f t="shared" si="30"/>
        <v/>
      </c>
      <c r="J507" s="33"/>
      <c r="K507" s="33"/>
      <c r="L507" s="46"/>
      <c r="M507" s="46"/>
      <c r="N507" s="36"/>
      <c r="O507" s="36"/>
      <c r="P507" s="36"/>
      <c r="Q507" s="36"/>
      <c r="R507" s="38"/>
      <c r="S507" s="38"/>
      <c r="T507" s="38"/>
      <c r="U507" s="38"/>
      <c r="V507" s="37"/>
      <c r="W507" s="37"/>
      <c r="X507" s="37"/>
      <c r="Y507" s="37"/>
      <c r="Z507" s="37"/>
      <c r="AA507" s="37"/>
      <c r="AB507" s="37"/>
      <c r="AC507" s="37"/>
      <c r="AD507" s="37"/>
      <c r="AE507" s="37"/>
      <c r="AF507" s="37"/>
      <c r="AG507" s="37"/>
      <c r="AH507" s="37"/>
      <c r="AI507" s="37"/>
      <c r="AJ507" s="37"/>
      <c r="AK507" s="37"/>
      <c r="AL507" s="37"/>
      <c r="AM507" s="37"/>
      <c r="AN507" s="37"/>
      <c r="AO507" s="37"/>
      <c r="AP507" s="37"/>
      <c r="AQ507" s="37"/>
      <c r="AR507" s="37"/>
      <c r="AS507" s="37"/>
      <c r="AT507" s="37"/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  <c r="BE507" s="37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8"/>
      <c r="CZ507" s="38"/>
      <c r="DA507" s="13"/>
      <c r="DB507" s="13"/>
      <c r="DC507" s="13"/>
      <c r="DD507" s="13"/>
      <c r="DE507" s="13"/>
      <c r="DF507" s="13"/>
      <c r="DG507" s="13"/>
      <c r="DH507" s="13"/>
      <c r="DI507" s="13"/>
    </row>
    <row r="508" spans="2:113" ht="18" customHeight="1" x14ac:dyDescent="0.4">
      <c r="B508" s="27">
        <f t="shared" si="29"/>
        <v>497</v>
      </c>
      <c r="C508" s="28"/>
      <c r="D508" s="29"/>
      <c r="E508" s="29"/>
      <c r="F508" s="30"/>
      <c r="G508" s="31"/>
      <c r="H508" s="45"/>
      <c r="I508" s="32" t="str">
        <f t="shared" si="30"/>
        <v/>
      </c>
      <c r="J508" s="33"/>
      <c r="K508" s="33"/>
      <c r="L508" s="46"/>
      <c r="M508" s="46"/>
      <c r="N508" s="36"/>
      <c r="O508" s="36"/>
      <c r="P508" s="36"/>
      <c r="Q508" s="36"/>
      <c r="R508" s="38"/>
      <c r="S508" s="38"/>
      <c r="T508" s="38"/>
      <c r="U508" s="38"/>
      <c r="V508" s="55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0"/>
      <c r="BG508" s="50"/>
      <c r="BH508" s="36"/>
      <c r="BI508" s="36"/>
      <c r="BJ508" s="36"/>
      <c r="BK508" s="36"/>
      <c r="BL508" s="36"/>
      <c r="BM508" s="36"/>
      <c r="BN508" s="36"/>
      <c r="BO508" s="36"/>
      <c r="BP508" s="36"/>
      <c r="BQ508" s="36"/>
      <c r="BR508" s="36"/>
      <c r="BS508" s="36"/>
      <c r="BT508" s="36"/>
      <c r="BU508" s="36"/>
      <c r="BV508" s="36"/>
      <c r="BW508" s="36"/>
      <c r="BX508" s="36"/>
      <c r="BY508" s="36"/>
      <c r="BZ508" s="36"/>
      <c r="CA508" s="36"/>
      <c r="CB508" s="36"/>
      <c r="CC508" s="36"/>
      <c r="CD508" s="36"/>
      <c r="CE508" s="36"/>
      <c r="CF508" s="36"/>
      <c r="CG508" s="36"/>
      <c r="CH508" s="36"/>
      <c r="CI508" s="36"/>
      <c r="CJ508" s="36"/>
      <c r="CK508" s="36"/>
      <c r="CL508" s="36"/>
      <c r="CM508" s="36"/>
      <c r="CN508" s="36"/>
      <c r="CO508" s="36"/>
      <c r="CP508" s="36"/>
      <c r="CQ508" s="36"/>
      <c r="CR508" s="36"/>
      <c r="CS508" s="36"/>
      <c r="CT508" s="36"/>
      <c r="CU508" s="36"/>
      <c r="CV508" s="36"/>
      <c r="CW508" s="36"/>
      <c r="CX508" s="36"/>
      <c r="CY508" s="38"/>
      <c r="CZ508" s="38"/>
      <c r="DA508" s="13"/>
      <c r="DB508" s="13"/>
      <c r="DC508" s="13"/>
      <c r="DD508" s="13"/>
      <c r="DE508" s="13"/>
      <c r="DF508" s="13"/>
      <c r="DG508" s="13"/>
      <c r="DH508" s="13"/>
      <c r="DI508" s="13"/>
    </row>
    <row r="509" spans="2:113" ht="18" customHeight="1" x14ac:dyDescent="0.4">
      <c r="B509" s="27">
        <f t="shared" si="29"/>
        <v>498</v>
      </c>
      <c r="C509" s="28"/>
      <c r="D509" s="29"/>
      <c r="E509" s="29"/>
      <c r="F509" s="30"/>
      <c r="G509" s="31"/>
      <c r="H509" s="45"/>
      <c r="I509" s="32" t="str">
        <f t="shared" si="30"/>
        <v/>
      </c>
      <c r="J509" s="33"/>
      <c r="K509" s="33"/>
      <c r="L509" s="46"/>
      <c r="M509" s="46"/>
      <c r="N509" s="36"/>
      <c r="O509" s="36"/>
      <c r="P509" s="36"/>
      <c r="Q509" s="36"/>
      <c r="R509" s="38"/>
      <c r="S509" s="38"/>
      <c r="T509" s="52"/>
      <c r="U509" s="52"/>
      <c r="V509" s="37"/>
      <c r="W509" s="37"/>
      <c r="X509" s="37"/>
      <c r="Y509" s="37"/>
      <c r="Z509" s="37"/>
      <c r="AA509" s="37"/>
      <c r="AB509" s="37"/>
      <c r="AC509" s="37"/>
      <c r="AD509" s="37"/>
      <c r="AE509" s="37"/>
      <c r="AF509" s="37"/>
      <c r="AG509" s="37"/>
      <c r="AH509" s="37"/>
      <c r="AI509" s="37"/>
      <c r="AJ509" s="37"/>
      <c r="AK509" s="37"/>
      <c r="AL509" s="37"/>
      <c r="AM509" s="37"/>
      <c r="AN509" s="37"/>
      <c r="AO509" s="37"/>
      <c r="AP509" s="37"/>
      <c r="AQ509" s="37"/>
      <c r="AR509" s="37"/>
      <c r="AS509" s="37"/>
      <c r="AT509" s="37"/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  <c r="BE509" s="37"/>
      <c r="BF509" s="36"/>
      <c r="BG509" s="36"/>
      <c r="BH509" s="36"/>
      <c r="BI509" s="36"/>
      <c r="BJ509" s="36"/>
      <c r="BK509" s="36"/>
      <c r="BL509" s="36"/>
      <c r="BM509" s="36"/>
      <c r="BN509" s="36"/>
      <c r="BO509" s="36"/>
      <c r="BP509" s="36"/>
      <c r="BQ509" s="36"/>
      <c r="BR509" s="36"/>
      <c r="BS509" s="36"/>
      <c r="BT509" s="36"/>
      <c r="BU509" s="36"/>
      <c r="BV509" s="36"/>
      <c r="BW509" s="36"/>
      <c r="BX509" s="36"/>
      <c r="BY509" s="36"/>
      <c r="BZ509" s="36"/>
      <c r="CA509" s="36"/>
      <c r="CB509" s="36"/>
      <c r="CC509" s="36"/>
      <c r="CD509" s="36"/>
      <c r="CE509" s="36"/>
      <c r="CF509" s="36"/>
      <c r="CG509" s="36"/>
      <c r="CH509" s="36"/>
      <c r="CI509" s="36"/>
      <c r="CJ509" s="36"/>
      <c r="CK509" s="36"/>
      <c r="CL509" s="36"/>
      <c r="CM509" s="36"/>
      <c r="CN509" s="36"/>
      <c r="CO509" s="36"/>
      <c r="CP509" s="36"/>
      <c r="CQ509" s="36"/>
      <c r="CR509" s="36"/>
      <c r="CS509" s="36"/>
      <c r="CT509" s="36"/>
      <c r="CU509" s="36"/>
      <c r="CV509" s="36"/>
      <c r="CW509" s="36"/>
      <c r="CX509" s="36"/>
      <c r="CY509" s="38"/>
      <c r="CZ509" s="38"/>
      <c r="DA509" s="13"/>
      <c r="DB509" s="13"/>
      <c r="DC509" s="13"/>
      <c r="DD509" s="13"/>
      <c r="DE509" s="13"/>
      <c r="DF509" s="13"/>
      <c r="DG509" s="13"/>
      <c r="DH509" s="13"/>
      <c r="DI509" s="13"/>
    </row>
    <row r="510" spans="2:113" ht="18" customHeight="1" x14ac:dyDescent="0.4">
      <c r="B510" s="27">
        <f t="shared" si="29"/>
        <v>499</v>
      </c>
      <c r="C510" s="28"/>
      <c r="D510" s="29"/>
      <c r="E510" s="29"/>
      <c r="F510" s="30"/>
      <c r="G510" s="31"/>
      <c r="H510" s="43"/>
      <c r="I510" s="32" t="str">
        <f t="shared" si="30"/>
        <v/>
      </c>
      <c r="J510" s="33"/>
      <c r="K510" s="33"/>
      <c r="L510" s="57"/>
      <c r="M510" s="57"/>
      <c r="N510" s="47"/>
      <c r="O510" s="36"/>
      <c r="P510" s="36"/>
      <c r="Q510" s="36"/>
      <c r="R510" s="38"/>
      <c r="S510" s="38"/>
      <c r="T510" s="38"/>
      <c r="U510" s="38"/>
      <c r="V510" s="38"/>
      <c r="W510" s="38"/>
      <c r="X510" s="38"/>
      <c r="Y510" s="36"/>
      <c r="Z510" s="36"/>
      <c r="AA510" s="36"/>
      <c r="AB510" s="36"/>
      <c r="AC510" s="36"/>
      <c r="AD510" s="36"/>
      <c r="AE510" s="36"/>
      <c r="AF510" s="36"/>
      <c r="AG510" s="36"/>
      <c r="AH510" s="36"/>
      <c r="AI510" s="36"/>
      <c r="AJ510" s="36"/>
      <c r="AK510" s="36"/>
      <c r="AL510" s="36"/>
      <c r="AM510" s="36"/>
      <c r="AN510" s="36"/>
      <c r="AO510" s="36"/>
      <c r="AP510" s="36"/>
      <c r="AQ510" s="36"/>
      <c r="AR510" s="36"/>
      <c r="AS510" s="36"/>
      <c r="AT510" s="36"/>
      <c r="AU510" s="36"/>
      <c r="AV510" s="36"/>
      <c r="AW510" s="36"/>
      <c r="AX510" s="36"/>
      <c r="AY510" s="36"/>
      <c r="AZ510" s="36"/>
      <c r="BA510" s="36"/>
      <c r="BB510" s="36"/>
      <c r="BC510" s="36"/>
      <c r="BD510" s="36"/>
      <c r="BE510" s="36"/>
      <c r="BF510" s="36"/>
      <c r="BG510" s="36"/>
      <c r="BH510" s="36"/>
      <c r="BI510" s="36"/>
      <c r="BJ510" s="36"/>
      <c r="BK510" s="36"/>
      <c r="BL510" s="36"/>
      <c r="BM510" s="36"/>
      <c r="BN510" s="36"/>
      <c r="BO510" s="36"/>
      <c r="BP510" s="36"/>
      <c r="BQ510" s="36"/>
      <c r="BR510" s="36"/>
      <c r="BS510" s="36"/>
      <c r="BT510" s="36"/>
      <c r="BU510" s="36"/>
      <c r="BV510" s="36"/>
      <c r="BW510" s="36"/>
      <c r="BX510" s="36"/>
      <c r="BY510" s="36"/>
      <c r="BZ510" s="36"/>
      <c r="CA510" s="36"/>
      <c r="CB510" s="36"/>
      <c r="CC510" s="36"/>
      <c r="CD510" s="36"/>
      <c r="CE510" s="36"/>
      <c r="CF510" s="36"/>
      <c r="CG510" s="36"/>
      <c r="CH510" s="36"/>
      <c r="CI510" s="36"/>
      <c r="CJ510" s="36"/>
      <c r="CK510" s="36"/>
      <c r="CL510" s="36"/>
      <c r="CM510" s="36"/>
      <c r="CN510" s="36"/>
      <c r="CO510" s="36"/>
      <c r="CP510" s="36"/>
      <c r="CQ510" s="36"/>
      <c r="CR510" s="36"/>
      <c r="CS510" s="36"/>
      <c r="CT510" s="36"/>
      <c r="CU510" s="36"/>
      <c r="CV510" s="36"/>
      <c r="CW510" s="36"/>
      <c r="CX510" s="36"/>
      <c r="CY510" s="38"/>
      <c r="CZ510" s="38"/>
      <c r="DA510" s="13"/>
      <c r="DB510" s="13"/>
      <c r="DC510" s="13"/>
      <c r="DD510" s="13"/>
      <c r="DE510" s="13"/>
      <c r="DF510" s="13"/>
      <c r="DG510" s="13"/>
      <c r="DH510" s="13"/>
      <c r="DI510" s="13"/>
    </row>
    <row r="511" spans="2:113" ht="18" customHeight="1" x14ac:dyDescent="0.4">
      <c r="B511" s="27">
        <f t="shared" si="29"/>
        <v>500</v>
      </c>
      <c r="C511" s="28"/>
      <c r="D511" s="29"/>
      <c r="E511" s="29"/>
      <c r="F511" s="30"/>
      <c r="G511" s="31"/>
      <c r="H511" s="45"/>
      <c r="I511" s="32" t="str">
        <f t="shared" si="30"/>
        <v/>
      </c>
      <c r="J511" s="33"/>
      <c r="K511" s="33"/>
      <c r="L511" s="46"/>
      <c r="M511" s="46"/>
      <c r="N511" s="48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49"/>
      <c r="AG511" s="49"/>
      <c r="AH511" s="49"/>
      <c r="AI511" s="49"/>
      <c r="AJ511" s="49"/>
      <c r="AK511" s="49"/>
      <c r="AL511" s="49"/>
      <c r="AM511" s="49"/>
      <c r="AN511" s="49"/>
      <c r="AO511" s="49"/>
      <c r="AP511" s="49"/>
      <c r="AQ511" s="49"/>
      <c r="AR511" s="49"/>
      <c r="AS511" s="49"/>
      <c r="AT511" s="49"/>
      <c r="AU511" s="49"/>
      <c r="AV511" s="49"/>
      <c r="AW511" s="49"/>
      <c r="AX511" s="49"/>
      <c r="AY511" s="49"/>
      <c r="AZ511" s="49"/>
      <c r="BA511" s="49"/>
      <c r="BB511" s="49"/>
      <c r="BC511" s="49"/>
      <c r="BD511" s="49"/>
      <c r="BE511" s="49"/>
      <c r="BF511" s="49"/>
      <c r="BG511" s="49"/>
      <c r="BH511" s="49"/>
      <c r="BI511" s="49"/>
      <c r="BJ511" s="49"/>
      <c r="BK511" s="49"/>
      <c r="BL511" s="49"/>
      <c r="BM511" s="49"/>
      <c r="BN511" s="49"/>
      <c r="BO511" s="49"/>
      <c r="BP511" s="49"/>
      <c r="BQ511" s="49"/>
      <c r="BR511" s="49"/>
      <c r="BS511" s="49"/>
      <c r="BT511" s="49"/>
      <c r="BU511" s="49"/>
      <c r="BV511" s="49"/>
      <c r="BW511" s="49"/>
      <c r="BX511" s="49"/>
      <c r="BY511" s="49"/>
      <c r="BZ511" s="49"/>
      <c r="CA511" s="49"/>
      <c r="CB511" s="49"/>
      <c r="CC511" s="49"/>
      <c r="CD511" s="49"/>
      <c r="CE511" s="49"/>
      <c r="CF511" s="49"/>
      <c r="CG511" s="49"/>
      <c r="CH511" s="49"/>
      <c r="CI511" s="49"/>
      <c r="CJ511" s="49"/>
      <c r="CK511" s="49"/>
      <c r="CL511" s="49"/>
      <c r="CM511" s="49"/>
      <c r="CN511" s="49"/>
      <c r="CO511" s="49"/>
      <c r="CP511" s="49"/>
      <c r="CQ511" s="49"/>
      <c r="CR511" s="49"/>
      <c r="CS511" s="49"/>
      <c r="CT511" s="49"/>
      <c r="CU511" s="49"/>
      <c r="CV511" s="49"/>
      <c r="CW511" s="49"/>
      <c r="CX511" s="49"/>
      <c r="CY511" s="49"/>
      <c r="CZ511" s="49"/>
    </row>
  </sheetData>
  <mergeCells count="14">
    <mergeCell ref="B8:B10"/>
    <mergeCell ref="C8:E8"/>
    <mergeCell ref="F8:F10"/>
    <mergeCell ref="C11:M11"/>
    <mergeCell ref="J8:M8"/>
    <mergeCell ref="G8:I8"/>
    <mergeCell ref="C9:C10"/>
    <mergeCell ref="D9:D10"/>
    <mergeCell ref="E9:E10"/>
    <mergeCell ref="J9:K9"/>
    <mergeCell ref="L9:M9"/>
    <mergeCell ref="G9:G10"/>
    <mergeCell ref="H9:H10"/>
    <mergeCell ref="I9:I10"/>
  </mergeCells>
  <phoneticPr fontId="3"/>
  <conditionalFormatting sqref="N8:CZ1000">
    <cfRule type="expression" dxfId="39" priority="70">
      <formula>DAY(N$9)=1</formula>
    </cfRule>
  </conditionalFormatting>
  <conditionalFormatting sqref="N10:CZ1000">
    <cfRule type="expression" dxfId="38" priority="72">
      <formula>OR(OR(WEEKDAY(N$10)=1, WEEKDAY(N$10)=7), COUNTIF(HOLIDAYTBL,N$9)&gt;0)</formula>
    </cfRule>
  </conditionalFormatting>
  <conditionalFormatting sqref="I13:I511">
    <cfRule type="dataBar" priority="62">
      <dataBar>
        <cfvo type="percent" val="0"/>
        <cfvo type="percent" val="100"/>
        <color theme="0" tint="-0.249977111117893"/>
      </dataBar>
      <extLst>
        <ext xmlns:x14="http://schemas.microsoft.com/office/spreadsheetml/2009/9/main" uri="{B025F937-C7B1-47D3-B67F-A62EFF666E3E}">
          <x14:id>{42EED4E4-EFCA-48F8-B60A-6321F4360A48}</x14:id>
        </ext>
      </extLst>
    </cfRule>
  </conditionalFormatting>
  <conditionalFormatting sqref="I12">
    <cfRule type="dataBar" priority="61">
      <dataBar>
        <cfvo type="percent" val="0"/>
        <cfvo type="percent" val="100"/>
        <color theme="0" tint="-0.249977111117893"/>
      </dataBar>
      <extLst>
        <ext xmlns:x14="http://schemas.microsoft.com/office/spreadsheetml/2009/9/main" uri="{B025F937-C7B1-47D3-B67F-A62EFF666E3E}">
          <x14:id>{BB49D184-9D0C-4E21-B34B-A2A058BED0E2}</x14:id>
        </ext>
      </extLst>
    </cfRule>
  </conditionalFormatting>
  <conditionalFormatting sqref="N62:CZ111">
    <cfRule type="expression" dxfId="37" priority="59">
      <formula>IF(AND(N$9&gt;=$L62, N$9&lt;=$M62)=TRUE, TRUE, FALSE)</formula>
    </cfRule>
    <cfRule type="expression" dxfId="36" priority="60">
      <formula>IF(AND(N$9&gt;=$J62, N$9&lt;=$K62)=TRUE, TRUE, FALSE)</formula>
    </cfRule>
  </conditionalFormatting>
  <conditionalFormatting sqref="N62:CZ111">
    <cfRule type="expression" dxfId="35" priority="57">
      <formula>DAY(N$9)=1</formula>
    </cfRule>
  </conditionalFormatting>
  <conditionalFormatting sqref="N62:CZ111">
    <cfRule type="expression" dxfId="34" priority="58">
      <formula>OR(OR(WEEKDAY(N$10)=1, WEEKDAY(N$10)=7), COUNTIF(HOLIDAYTBL,N$9)&gt;0)</formula>
    </cfRule>
  </conditionalFormatting>
  <conditionalFormatting sqref="N112:CZ161">
    <cfRule type="expression" dxfId="33" priority="53">
      <formula>IF(AND(N$9&gt;=$L112, N$9&lt;=$M112)=TRUE, TRUE, FALSE)</formula>
    </cfRule>
    <cfRule type="expression" dxfId="32" priority="54">
      <formula>IF(AND(N$9&gt;=$J112, N$9&lt;=$K112)=TRUE, TRUE, FALSE)</formula>
    </cfRule>
  </conditionalFormatting>
  <conditionalFormatting sqref="N112:CZ161">
    <cfRule type="expression" dxfId="31" priority="51">
      <formula>DAY(N$9)=1</formula>
    </cfRule>
  </conditionalFormatting>
  <conditionalFormatting sqref="N112:CZ161">
    <cfRule type="expression" dxfId="30" priority="52">
      <formula>OR(OR(WEEKDAY(N$10)=1, WEEKDAY(N$10)=7), COUNTIF(HOLIDAYTBL,N$9)&gt;0)</formula>
    </cfRule>
  </conditionalFormatting>
  <conditionalFormatting sqref="N162:CZ211">
    <cfRule type="expression" dxfId="29" priority="47">
      <formula>IF(AND(N$9&gt;=$L162, N$9&lt;=$M162)=TRUE, TRUE, FALSE)</formula>
    </cfRule>
    <cfRule type="expression" dxfId="28" priority="48">
      <formula>IF(AND(N$9&gt;=$J162, N$9&lt;=$K162)=TRUE, TRUE, FALSE)</formula>
    </cfRule>
  </conditionalFormatting>
  <conditionalFormatting sqref="N162:CZ211">
    <cfRule type="expression" dxfId="27" priority="45">
      <formula>DAY(N$9)=1</formula>
    </cfRule>
  </conditionalFormatting>
  <conditionalFormatting sqref="N162:CZ211">
    <cfRule type="expression" dxfId="26" priority="46">
      <formula>OR(OR(WEEKDAY(N$10)=1, WEEKDAY(N$10)=7), COUNTIF(HOLIDAYTBL,N$9)&gt;0)</formula>
    </cfRule>
  </conditionalFormatting>
  <conditionalFormatting sqref="N212:CZ261">
    <cfRule type="expression" dxfId="25" priority="41">
      <formula>IF(AND(N$9&gt;=$L212, N$9&lt;=$M212)=TRUE, TRUE, FALSE)</formula>
    </cfRule>
    <cfRule type="expression" dxfId="24" priority="42">
      <formula>IF(AND(N$9&gt;=$J212, N$9&lt;=$K212)=TRUE, TRUE, FALSE)</formula>
    </cfRule>
  </conditionalFormatting>
  <conditionalFormatting sqref="N212:CZ261">
    <cfRule type="expression" dxfId="23" priority="39">
      <formula>DAY(N$9)=1</formula>
    </cfRule>
  </conditionalFormatting>
  <conditionalFormatting sqref="N212:CZ261">
    <cfRule type="expression" dxfId="22" priority="40">
      <formula>OR(OR(WEEKDAY(N$10)=1, WEEKDAY(N$10)=7), COUNTIF(HOLIDAYTBL,N$9)&gt;0)</formula>
    </cfRule>
  </conditionalFormatting>
  <conditionalFormatting sqref="N262:CZ311">
    <cfRule type="expression" dxfId="21" priority="35">
      <formula>IF(AND(N$9&gt;=$L262, N$9&lt;=$M262)=TRUE, TRUE, FALSE)</formula>
    </cfRule>
    <cfRule type="expression" dxfId="20" priority="36">
      <formula>IF(AND(N$9&gt;=$J262, N$9&lt;=$K262)=TRUE, TRUE, FALSE)</formula>
    </cfRule>
  </conditionalFormatting>
  <conditionalFormatting sqref="N262:CZ311">
    <cfRule type="expression" dxfId="19" priority="33">
      <formula>DAY(N$9)=1</formula>
    </cfRule>
  </conditionalFormatting>
  <conditionalFormatting sqref="N262:CZ311">
    <cfRule type="expression" dxfId="18" priority="34">
      <formula>OR(OR(WEEKDAY(N$10)=1, WEEKDAY(N$10)=7), COUNTIF(HOLIDAYTBL,N$9)&gt;0)</formula>
    </cfRule>
  </conditionalFormatting>
  <conditionalFormatting sqref="N312:CZ361">
    <cfRule type="expression" dxfId="17" priority="29">
      <formula>IF(AND(N$9&gt;=$L312, N$9&lt;=$M312)=TRUE, TRUE, FALSE)</formula>
    </cfRule>
    <cfRule type="expression" dxfId="16" priority="30">
      <formula>IF(AND(N$9&gt;=$J312, N$9&lt;=$K312)=TRUE, TRUE, FALSE)</formula>
    </cfRule>
  </conditionalFormatting>
  <conditionalFormatting sqref="N312:CZ361">
    <cfRule type="expression" dxfId="15" priority="27">
      <formula>DAY(N$9)=1</formula>
    </cfRule>
  </conditionalFormatting>
  <conditionalFormatting sqref="N312:CZ361">
    <cfRule type="expression" dxfId="14" priority="28">
      <formula>OR(OR(WEEKDAY(N$10)=1, WEEKDAY(N$10)=7), COUNTIF(HOLIDAYTBL,N$9)&gt;0)</formula>
    </cfRule>
  </conditionalFormatting>
  <conditionalFormatting sqref="N362:CZ411">
    <cfRule type="expression" dxfId="13" priority="23">
      <formula>IF(AND(N$9&gt;=$L362, N$9&lt;=$M362)=TRUE, TRUE, FALSE)</formula>
    </cfRule>
    <cfRule type="expression" dxfId="12" priority="24">
      <formula>IF(AND(N$9&gt;=$J362, N$9&lt;=$K362)=TRUE, TRUE, FALSE)</formula>
    </cfRule>
  </conditionalFormatting>
  <conditionalFormatting sqref="N362:CZ411">
    <cfRule type="expression" dxfId="11" priority="21">
      <formula>DAY(N$9)=1</formula>
    </cfRule>
  </conditionalFormatting>
  <conditionalFormatting sqref="N362:CZ411">
    <cfRule type="expression" dxfId="10" priority="22">
      <formula>OR(OR(WEEKDAY(N$10)=1, WEEKDAY(N$10)=7), COUNTIF(HOLIDAYTBL,N$9)&gt;0)</formula>
    </cfRule>
  </conditionalFormatting>
  <conditionalFormatting sqref="N412:CZ461">
    <cfRule type="expression" dxfId="9" priority="17">
      <formula>IF(AND(N$9&gt;=$L412, N$9&lt;=$M412)=TRUE, TRUE, FALSE)</formula>
    </cfRule>
    <cfRule type="expression" dxfId="8" priority="18">
      <formula>IF(AND(N$9&gt;=$J412, N$9&lt;=$K412)=TRUE, TRUE, FALSE)</formula>
    </cfRule>
  </conditionalFormatting>
  <conditionalFormatting sqref="N412:CZ461">
    <cfRule type="expression" dxfId="7" priority="15">
      <formula>DAY(N$9)=1</formula>
    </cfRule>
  </conditionalFormatting>
  <conditionalFormatting sqref="N412:CZ461">
    <cfRule type="expression" dxfId="6" priority="16">
      <formula>OR(OR(WEEKDAY(N$10)=1, WEEKDAY(N$10)=7), COUNTIF(HOLIDAYTBL,N$9)&gt;0)</formula>
    </cfRule>
  </conditionalFormatting>
  <conditionalFormatting sqref="N462:CZ511">
    <cfRule type="expression" dxfId="5" priority="11">
      <formula>IF(AND(N$9&gt;=$L462, N$9&lt;=$M462)=TRUE, TRUE, FALSE)</formula>
    </cfRule>
    <cfRule type="expression" dxfId="4" priority="12">
      <formula>IF(AND(N$9&gt;=$J462, N$9&lt;=$K462)=TRUE, TRUE, FALSE)</formula>
    </cfRule>
  </conditionalFormatting>
  <conditionalFormatting sqref="N462:CZ511">
    <cfRule type="expression" dxfId="3" priority="9">
      <formula>DAY(N$9)=1</formula>
    </cfRule>
  </conditionalFormatting>
  <conditionalFormatting sqref="N462:CZ511">
    <cfRule type="expression" dxfId="2" priority="10">
      <formula>OR(OR(WEEKDAY(N$10)=1, WEEKDAY(N$10)=7), COUNTIF(HOLIDAYTBL,N$9)&gt;0)</formula>
    </cfRule>
  </conditionalFormatting>
  <conditionalFormatting sqref="N11:CZ1000">
    <cfRule type="expression" dxfId="1" priority="73">
      <formula>IF(AND(N$9&gt;=$L11, N$9&lt;=$M11)=TRUE, TRUE, FALSE)</formula>
    </cfRule>
    <cfRule type="expression" dxfId="0" priority="74">
      <formula>IF(AND(N$9&gt;=$J11, N$9&lt;=$K11)=TRUE, TRUE, FALSE)</formula>
    </cfRule>
  </conditionalFormatting>
  <pageMargins left="0.23622047244094491" right="0.23622047244094491" top="0.74803149606299213" bottom="0.74803149606299213" header="0.31496062992125984" footer="0.31496062992125984"/>
  <pageSetup paperSize="8" scale="47" fitToHeight="0" orientation="landscape" r:id="rId1"/>
  <headerFooter alignWithMargins="0">
    <oddHeader>&amp;R&amp;16&amp;D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EED4E4-EFCA-48F8-B60A-6321F4360A4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I13:I511</xm:sqref>
        </x14:conditionalFormatting>
        <x14:conditionalFormatting xmlns:xm="http://schemas.microsoft.com/office/excel/2006/main">
          <x14:cfRule type="dataBar" id="{BB49D184-9D0C-4E21-B34B-A2A058BED0E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17"/>
  <sheetViews>
    <sheetView workbookViewId="0">
      <selection activeCell="I19" sqref="I19"/>
    </sheetView>
  </sheetViews>
  <sheetFormatPr defaultRowHeight="15.75" x14ac:dyDescent="0.15"/>
  <cols>
    <col min="1" max="2" width="12.75" style="2" bestFit="1" customWidth="1"/>
    <col min="3" max="4" width="9" style="2"/>
    <col min="5" max="6" width="12.75" style="2" bestFit="1" customWidth="1"/>
    <col min="7" max="16384" width="9" style="2"/>
  </cols>
  <sheetData>
    <row r="1" spans="1:5" x14ac:dyDescent="0.15">
      <c r="A1" s="12">
        <v>44197</v>
      </c>
      <c r="B1" t="s">
        <v>14</v>
      </c>
      <c r="D1" s="3"/>
      <c r="E1" s="3"/>
    </row>
    <row r="2" spans="1:5" x14ac:dyDescent="0.15">
      <c r="A2" s="12">
        <v>44198</v>
      </c>
      <c r="B2" t="s">
        <v>15</v>
      </c>
      <c r="D2" s="3" t="s">
        <v>11</v>
      </c>
      <c r="E2" s="3"/>
    </row>
    <row r="3" spans="1:5" x14ac:dyDescent="0.15">
      <c r="A3" s="12">
        <v>44199</v>
      </c>
      <c r="B3" t="s">
        <v>15</v>
      </c>
      <c r="D3" s="9" t="s">
        <v>12</v>
      </c>
      <c r="E3" s="10">
        <v>44197</v>
      </c>
    </row>
    <row r="4" spans="1:5" x14ac:dyDescent="0.15">
      <c r="A4" s="12">
        <v>44207</v>
      </c>
      <c r="B4" t="s">
        <v>16</v>
      </c>
      <c r="D4" s="9" t="s">
        <v>13</v>
      </c>
      <c r="E4" s="11">
        <v>45291</v>
      </c>
    </row>
    <row r="5" spans="1:5" x14ac:dyDescent="0.15">
      <c r="A5" s="12">
        <v>44238</v>
      </c>
      <c r="B5" t="s">
        <v>17</v>
      </c>
      <c r="D5" s="3"/>
      <c r="E5" s="3"/>
    </row>
    <row r="6" spans="1:5" x14ac:dyDescent="0.15">
      <c r="A6" s="12">
        <v>44250</v>
      </c>
      <c r="B6" t="s">
        <v>18</v>
      </c>
      <c r="D6" s="1" t="s">
        <v>32</v>
      </c>
      <c r="E6" s="3"/>
    </row>
    <row r="7" spans="1:5" x14ac:dyDescent="0.15">
      <c r="A7" s="12">
        <v>44275</v>
      </c>
      <c r="B7" t="s">
        <v>19</v>
      </c>
      <c r="D7" s="3"/>
      <c r="E7" s="3"/>
    </row>
    <row r="8" spans="1:5" x14ac:dyDescent="0.15">
      <c r="A8" s="12">
        <v>44315</v>
      </c>
      <c r="B8" t="s">
        <v>20</v>
      </c>
      <c r="E8" s="3"/>
    </row>
    <row r="9" spans="1:5" x14ac:dyDescent="0.15">
      <c r="A9" s="12">
        <v>44319</v>
      </c>
      <c r="B9" t="s">
        <v>21</v>
      </c>
      <c r="D9" s="3"/>
      <c r="E9" s="3"/>
    </row>
    <row r="10" spans="1:5" x14ac:dyDescent="0.15">
      <c r="A10" s="12">
        <v>44320</v>
      </c>
      <c r="B10" t="s">
        <v>22</v>
      </c>
      <c r="E10" s="3"/>
    </row>
    <row r="11" spans="1:5" x14ac:dyDescent="0.15">
      <c r="A11" s="12">
        <v>44321</v>
      </c>
      <c r="B11" t="s">
        <v>23</v>
      </c>
      <c r="D11" s="3" t="s">
        <v>33</v>
      </c>
      <c r="E11" s="3"/>
    </row>
    <row r="12" spans="1:5" x14ac:dyDescent="0.15">
      <c r="A12" s="12">
        <v>44399</v>
      </c>
      <c r="B12" t="s">
        <v>24</v>
      </c>
      <c r="D12" s="3" t="s">
        <v>34</v>
      </c>
      <c r="E12" s="3"/>
    </row>
    <row r="13" spans="1:5" x14ac:dyDescent="0.15">
      <c r="A13" s="12">
        <v>44400</v>
      </c>
      <c r="B13" t="s">
        <v>25</v>
      </c>
    </row>
    <row r="14" spans="1:5" x14ac:dyDescent="0.15">
      <c r="A14" s="12">
        <v>44416</v>
      </c>
      <c r="B14" t="s">
        <v>26</v>
      </c>
      <c r="D14" s="3" t="s">
        <v>35</v>
      </c>
    </row>
    <row r="15" spans="1:5" x14ac:dyDescent="0.15">
      <c r="A15" s="12">
        <v>44417</v>
      </c>
      <c r="B15" t="s">
        <v>27</v>
      </c>
    </row>
    <row r="16" spans="1:5" x14ac:dyDescent="0.15">
      <c r="A16" s="12">
        <v>44459</v>
      </c>
      <c r="B16" t="s">
        <v>28</v>
      </c>
    </row>
    <row r="17" spans="1:4" x14ac:dyDescent="0.15">
      <c r="A17" s="12">
        <v>44462</v>
      </c>
      <c r="B17" t="s">
        <v>29</v>
      </c>
    </row>
    <row r="18" spans="1:4" x14ac:dyDescent="0.15">
      <c r="A18" s="12">
        <v>44503</v>
      </c>
      <c r="B18" t="s">
        <v>30</v>
      </c>
    </row>
    <row r="19" spans="1:4" x14ac:dyDescent="0.15">
      <c r="A19" s="12">
        <v>44523</v>
      </c>
      <c r="B19" t="s">
        <v>31</v>
      </c>
      <c r="D19" s="3"/>
    </row>
    <row r="20" spans="1:4" x14ac:dyDescent="0.15">
      <c r="A20" s="12">
        <v>44559</v>
      </c>
      <c r="B20" t="s">
        <v>15</v>
      </c>
    </row>
    <row r="21" spans="1:4" x14ac:dyDescent="0.15">
      <c r="A21" s="12">
        <v>44560</v>
      </c>
      <c r="B21" t="s">
        <v>15</v>
      </c>
    </row>
    <row r="22" spans="1:4" x14ac:dyDescent="0.15">
      <c r="A22" s="12">
        <v>44561</v>
      </c>
      <c r="B22" t="s">
        <v>15</v>
      </c>
    </row>
    <row r="23" spans="1:4" x14ac:dyDescent="0.15">
      <c r="A23" s="12">
        <v>44562</v>
      </c>
      <c r="B23" t="s">
        <v>14</v>
      </c>
    </row>
    <row r="24" spans="1:4" x14ac:dyDescent="0.15">
      <c r="A24" s="12">
        <v>44563</v>
      </c>
      <c r="B24" t="s">
        <v>15</v>
      </c>
    </row>
    <row r="25" spans="1:4" x14ac:dyDescent="0.15">
      <c r="A25" s="12">
        <v>44564</v>
      </c>
      <c r="B25" t="s">
        <v>15</v>
      </c>
    </row>
    <row r="26" spans="1:4" x14ac:dyDescent="0.15">
      <c r="A26" s="12">
        <v>44571</v>
      </c>
      <c r="B26" t="s">
        <v>16</v>
      </c>
    </row>
    <row r="27" spans="1:4" x14ac:dyDescent="0.15">
      <c r="A27" s="12">
        <v>44603</v>
      </c>
      <c r="B27" t="s">
        <v>17</v>
      </c>
    </row>
    <row r="28" spans="1:4" x14ac:dyDescent="0.15">
      <c r="A28" s="12">
        <v>44615</v>
      </c>
      <c r="B28" t="s">
        <v>18</v>
      </c>
    </row>
    <row r="29" spans="1:4" x14ac:dyDescent="0.15">
      <c r="A29" s="12">
        <v>44641</v>
      </c>
      <c r="B29" t="s">
        <v>19</v>
      </c>
    </row>
    <row r="30" spans="1:4" x14ac:dyDescent="0.15">
      <c r="A30" s="12">
        <v>44680</v>
      </c>
      <c r="B30" t="s">
        <v>20</v>
      </c>
    </row>
    <row r="31" spans="1:4" x14ac:dyDescent="0.15">
      <c r="A31" s="12">
        <v>44684</v>
      </c>
      <c r="B31" t="s">
        <v>21</v>
      </c>
    </row>
    <row r="32" spans="1:4" x14ac:dyDescent="0.15">
      <c r="A32" s="12">
        <v>44685</v>
      </c>
      <c r="B32" t="s">
        <v>22</v>
      </c>
    </row>
    <row r="33" spans="1:2" x14ac:dyDescent="0.15">
      <c r="A33" s="12">
        <v>44686</v>
      </c>
      <c r="B33" t="s">
        <v>23</v>
      </c>
    </row>
    <row r="34" spans="1:2" x14ac:dyDescent="0.15">
      <c r="A34" s="12">
        <v>44760</v>
      </c>
      <c r="B34" t="s">
        <v>24</v>
      </c>
    </row>
    <row r="35" spans="1:2" x14ac:dyDescent="0.15">
      <c r="A35" s="12">
        <v>44784</v>
      </c>
      <c r="B35" t="s">
        <v>26</v>
      </c>
    </row>
    <row r="36" spans="1:2" x14ac:dyDescent="0.15">
      <c r="A36" s="12">
        <v>44823</v>
      </c>
      <c r="B36" t="s">
        <v>28</v>
      </c>
    </row>
    <row r="37" spans="1:2" x14ac:dyDescent="0.15">
      <c r="A37" s="12">
        <v>44827</v>
      </c>
      <c r="B37" t="s">
        <v>29</v>
      </c>
    </row>
    <row r="38" spans="1:2" x14ac:dyDescent="0.15">
      <c r="A38" s="12">
        <v>44844</v>
      </c>
      <c r="B38" t="s">
        <v>25</v>
      </c>
    </row>
    <row r="39" spans="1:2" x14ac:dyDescent="0.15">
      <c r="A39" s="12">
        <v>44868</v>
      </c>
      <c r="B39" t="s">
        <v>30</v>
      </c>
    </row>
    <row r="40" spans="1:2" x14ac:dyDescent="0.15">
      <c r="A40" s="12">
        <v>44888</v>
      </c>
      <c r="B40" t="s">
        <v>31</v>
      </c>
    </row>
    <row r="41" spans="1:2" x14ac:dyDescent="0.15">
      <c r="A41" s="12">
        <v>44924</v>
      </c>
      <c r="B41" t="s">
        <v>15</v>
      </c>
    </row>
    <row r="42" spans="1:2" x14ac:dyDescent="0.15">
      <c r="A42" s="12">
        <v>44925</v>
      </c>
      <c r="B42" t="s">
        <v>15</v>
      </c>
    </row>
    <row r="43" spans="1:2" x14ac:dyDescent="0.15">
      <c r="A43" s="12">
        <v>44926</v>
      </c>
      <c r="B43" t="s">
        <v>15</v>
      </c>
    </row>
    <row r="44" spans="1:2" x14ac:dyDescent="0.15">
      <c r="A44" s="12">
        <v>44927</v>
      </c>
      <c r="B44" t="s">
        <v>14</v>
      </c>
    </row>
    <row r="45" spans="1:2" x14ac:dyDescent="0.15">
      <c r="A45" s="12">
        <v>44928</v>
      </c>
      <c r="B45" t="s">
        <v>27</v>
      </c>
    </row>
    <row r="46" spans="1:2" x14ac:dyDescent="0.15">
      <c r="A46" s="12">
        <v>44929</v>
      </c>
      <c r="B46" t="s">
        <v>15</v>
      </c>
    </row>
    <row r="47" spans="1:2" x14ac:dyDescent="0.15">
      <c r="A47" s="12">
        <v>44935</v>
      </c>
      <c r="B47" t="s">
        <v>16</v>
      </c>
    </row>
    <row r="48" spans="1:2" x14ac:dyDescent="0.15">
      <c r="A48" s="12">
        <v>44968</v>
      </c>
      <c r="B48" t="s">
        <v>17</v>
      </c>
    </row>
    <row r="49" spans="1:2" x14ac:dyDescent="0.15">
      <c r="A49" s="12">
        <v>44980</v>
      </c>
      <c r="B49" t="s">
        <v>18</v>
      </c>
    </row>
    <row r="50" spans="1:2" x14ac:dyDescent="0.15">
      <c r="A50" s="12">
        <v>45006</v>
      </c>
      <c r="B50" t="s">
        <v>19</v>
      </c>
    </row>
    <row r="51" spans="1:2" x14ac:dyDescent="0.15">
      <c r="A51" s="12">
        <v>45045</v>
      </c>
      <c r="B51" t="s">
        <v>20</v>
      </c>
    </row>
    <row r="52" spans="1:2" x14ac:dyDescent="0.15">
      <c r="A52" s="12">
        <v>45049</v>
      </c>
      <c r="B52" t="s">
        <v>21</v>
      </c>
    </row>
    <row r="53" spans="1:2" x14ac:dyDescent="0.15">
      <c r="A53" s="12">
        <v>45050</v>
      </c>
      <c r="B53" t="s">
        <v>22</v>
      </c>
    </row>
    <row r="54" spans="1:2" x14ac:dyDescent="0.15">
      <c r="A54" s="12">
        <v>45051</v>
      </c>
      <c r="B54" t="s">
        <v>23</v>
      </c>
    </row>
    <row r="55" spans="1:2" x14ac:dyDescent="0.15">
      <c r="A55" s="12">
        <v>45124</v>
      </c>
      <c r="B55" t="s">
        <v>24</v>
      </c>
    </row>
    <row r="56" spans="1:2" x14ac:dyDescent="0.15">
      <c r="A56" s="12">
        <v>45149</v>
      </c>
      <c r="B56" t="s">
        <v>26</v>
      </c>
    </row>
    <row r="57" spans="1:2" x14ac:dyDescent="0.15">
      <c r="A57" s="12">
        <v>45187</v>
      </c>
      <c r="B57" t="s">
        <v>28</v>
      </c>
    </row>
    <row r="58" spans="1:2" x14ac:dyDescent="0.15">
      <c r="A58" s="12">
        <v>45192</v>
      </c>
      <c r="B58" t="s">
        <v>29</v>
      </c>
    </row>
    <row r="59" spans="1:2" x14ac:dyDescent="0.15">
      <c r="A59" s="12">
        <v>45208</v>
      </c>
      <c r="B59" t="s">
        <v>25</v>
      </c>
    </row>
    <row r="60" spans="1:2" x14ac:dyDescent="0.15">
      <c r="A60" s="12">
        <v>45233</v>
      </c>
      <c r="B60" t="s">
        <v>30</v>
      </c>
    </row>
    <row r="61" spans="1:2" x14ac:dyDescent="0.15">
      <c r="A61" s="12">
        <v>45253</v>
      </c>
      <c r="B61" t="s">
        <v>31</v>
      </c>
    </row>
    <row r="62" spans="1:2" x14ac:dyDescent="0.15">
      <c r="A62" s="12">
        <v>45289</v>
      </c>
      <c r="B62" t="s">
        <v>15</v>
      </c>
    </row>
    <row r="63" spans="1:2" x14ac:dyDescent="0.15">
      <c r="A63" s="12">
        <v>45290</v>
      </c>
      <c r="B63" t="s">
        <v>15</v>
      </c>
    </row>
    <row r="64" spans="1:2" x14ac:dyDescent="0.15">
      <c r="A64" s="12">
        <v>45291</v>
      </c>
      <c r="B64" t="s">
        <v>15</v>
      </c>
    </row>
    <row r="65" spans="1:2" x14ac:dyDescent="0.15">
      <c r="A65"/>
      <c r="B65"/>
    </row>
    <row r="66" spans="1:2" x14ac:dyDescent="0.15">
      <c r="A66"/>
      <c r="B66"/>
    </row>
    <row r="67" spans="1:2" x14ac:dyDescent="0.15">
      <c r="A67"/>
      <c r="B67"/>
    </row>
    <row r="68" spans="1:2" x14ac:dyDescent="0.15">
      <c r="A68"/>
      <c r="B68"/>
    </row>
    <row r="69" spans="1:2" x14ac:dyDescent="0.15">
      <c r="A69"/>
      <c r="B69"/>
    </row>
    <row r="70" spans="1:2" x14ac:dyDescent="0.15">
      <c r="A70"/>
      <c r="B70"/>
    </row>
    <row r="71" spans="1:2" x14ac:dyDescent="0.15">
      <c r="A71"/>
      <c r="B71"/>
    </row>
    <row r="72" spans="1:2" x14ac:dyDescent="0.15">
      <c r="A72"/>
      <c r="B72"/>
    </row>
    <row r="73" spans="1:2" x14ac:dyDescent="0.15">
      <c r="A73"/>
      <c r="B73"/>
    </row>
    <row r="74" spans="1:2" x14ac:dyDescent="0.15">
      <c r="A74"/>
      <c r="B74"/>
    </row>
    <row r="75" spans="1:2" x14ac:dyDescent="0.15">
      <c r="A75"/>
      <c r="B75"/>
    </row>
    <row r="76" spans="1:2" x14ac:dyDescent="0.15">
      <c r="A76"/>
      <c r="B76"/>
    </row>
    <row r="77" spans="1:2" x14ac:dyDescent="0.15">
      <c r="A77"/>
      <c r="B77"/>
    </row>
    <row r="78" spans="1:2" x14ac:dyDescent="0.15">
      <c r="A78"/>
      <c r="B78"/>
    </row>
    <row r="79" spans="1:2" x14ac:dyDescent="0.15">
      <c r="A79"/>
      <c r="B79"/>
    </row>
    <row r="80" spans="1:2" x14ac:dyDescent="0.15">
      <c r="A80"/>
      <c r="B80"/>
    </row>
    <row r="81" spans="1:2" x14ac:dyDescent="0.15">
      <c r="A81"/>
      <c r="B81"/>
    </row>
    <row r="82" spans="1:2" x14ac:dyDescent="0.15">
      <c r="A82"/>
      <c r="B82"/>
    </row>
    <row r="83" spans="1:2" x14ac:dyDescent="0.15">
      <c r="A83"/>
      <c r="B83"/>
    </row>
    <row r="84" spans="1:2" x14ac:dyDescent="0.15">
      <c r="A84"/>
      <c r="B84"/>
    </row>
    <row r="85" spans="1:2" x14ac:dyDescent="0.15">
      <c r="A85"/>
      <c r="B85"/>
    </row>
    <row r="86" spans="1:2" x14ac:dyDescent="0.15">
      <c r="A86"/>
      <c r="B86"/>
    </row>
    <row r="87" spans="1:2" x14ac:dyDescent="0.15">
      <c r="A87"/>
      <c r="B87"/>
    </row>
    <row r="88" spans="1:2" x14ac:dyDescent="0.15">
      <c r="A88"/>
      <c r="B88"/>
    </row>
    <row r="89" spans="1:2" x14ac:dyDescent="0.15">
      <c r="A89"/>
      <c r="B89"/>
    </row>
    <row r="90" spans="1:2" x14ac:dyDescent="0.15">
      <c r="A90"/>
      <c r="B90"/>
    </row>
    <row r="91" spans="1:2" x14ac:dyDescent="0.15">
      <c r="A91"/>
      <c r="B91"/>
    </row>
    <row r="92" spans="1:2" x14ac:dyDescent="0.15">
      <c r="A92"/>
      <c r="B92"/>
    </row>
    <row r="93" spans="1:2" x14ac:dyDescent="0.15">
      <c r="A93"/>
      <c r="B93"/>
    </row>
    <row r="94" spans="1:2" x14ac:dyDescent="0.15">
      <c r="A94"/>
      <c r="B94"/>
    </row>
    <row r="95" spans="1:2" x14ac:dyDescent="0.15">
      <c r="A95"/>
      <c r="B95"/>
    </row>
    <row r="96" spans="1:2" x14ac:dyDescent="0.15">
      <c r="A96"/>
      <c r="B96"/>
    </row>
    <row r="97" spans="1:2" x14ac:dyDescent="0.15">
      <c r="A97"/>
      <c r="B97"/>
    </row>
    <row r="98" spans="1:2" x14ac:dyDescent="0.15">
      <c r="A98"/>
      <c r="B98"/>
    </row>
    <row r="99" spans="1:2" x14ac:dyDescent="0.15">
      <c r="A99"/>
      <c r="B99"/>
    </row>
    <row r="100" spans="1:2" x14ac:dyDescent="0.15">
      <c r="A100"/>
      <c r="B100"/>
    </row>
    <row r="101" spans="1:2" x14ac:dyDescent="0.15">
      <c r="A101"/>
      <c r="B101"/>
    </row>
    <row r="102" spans="1:2" x14ac:dyDescent="0.15">
      <c r="A102"/>
      <c r="B102"/>
    </row>
    <row r="103" spans="1:2" x14ac:dyDescent="0.15">
      <c r="A103"/>
      <c r="B103"/>
    </row>
    <row r="104" spans="1:2" x14ac:dyDescent="0.15">
      <c r="A104"/>
      <c r="B104"/>
    </row>
    <row r="105" spans="1:2" x14ac:dyDescent="0.15">
      <c r="A105"/>
      <c r="B105"/>
    </row>
    <row r="106" spans="1:2" x14ac:dyDescent="0.15">
      <c r="A106"/>
      <c r="B106"/>
    </row>
    <row r="107" spans="1:2" x14ac:dyDescent="0.15">
      <c r="A107"/>
      <c r="B107"/>
    </row>
    <row r="108" spans="1:2" x14ac:dyDescent="0.15">
      <c r="A108"/>
      <c r="B108"/>
    </row>
    <row r="109" spans="1:2" x14ac:dyDescent="0.15">
      <c r="A109"/>
      <c r="B109"/>
    </row>
    <row r="110" spans="1:2" x14ac:dyDescent="0.15">
      <c r="A110"/>
      <c r="B110"/>
    </row>
    <row r="111" spans="1:2" x14ac:dyDescent="0.15">
      <c r="A111"/>
      <c r="B111"/>
    </row>
    <row r="112" spans="1:2" x14ac:dyDescent="0.15">
      <c r="A112"/>
      <c r="B112"/>
    </row>
    <row r="113" spans="1:2" x14ac:dyDescent="0.15">
      <c r="A113"/>
      <c r="B113"/>
    </row>
    <row r="114" spans="1:2" x14ac:dyDescent="0.15">
      <c r="A114"/>
      <c r="B114"/>
    </row>
    <row r="115" spans="1:2" x14ac:dyDescent="0.15">
      <c r="A115"/>
      <c r="B115"/>
    </row>
    <row r="116" spans="1:2" x14ac:dyDescent="0.15">
      <c r="A116"/>
      <c r="B116"/>
    </row>
    <row r="117" spans="1:2" x14ac:dyDescent="0.15">
      <c r="A117"/>
      <c r="B117"/>
    </row>
  </sheetData>
  <phoneticPr fontId="3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F4:AF29"/>
  <sheetViews>
    <sheetView showGridLines="0" workbookViewId="0">
      <selection activeCell="B2" sqref="B2"/>
    </sheetView>
  </sheetViews>
  <sheetFormatPr defaultColWidth="2.625" defaultRowHeight="11.25" x14ac:dyDescent="0.15"/>
  <cols>
    <col min="1" max="5" width="2.625" style="4"/>
    <col min="6" max="6" width="6" style="4" bestFit="1" customWidth="1"/>
    <col min="7" max="11" width="2.625" style="4"/>
    <col min="12" max="13" width="3" style="4" bestFit="1" customWidth="1"/>
    <col min="14" max="15" width="2.625" style="4"/>
    <col min="16" max="20" width="2.625" style="4" customWidth="1"/>
    <col min="21" max="16384" width="2.625" style="4"/>
  </cols>
  <sheetData>
    <row r="4" spans="6:32" x14ac:dyDescent="0.15">
      <c r="G4" s="7" t="s">
        <v>8</v>
      </c>
    </row>
    <row r="5" spans="6:32" x14ac:dyDescent="0.15">
      <c r="F5" s="7"/>
      <c r="G5" s="6" t="s">
        <v>9</v>
      </c>
    </row>
    <row r="7" spans="6:32" x14ac:dyDescent="0.15">
      <c r="F7" s="8" t="s">
        <v>1</v>
      </c>
      <c r="G7" s="73" t="s">
        <v>7</v>
      </c>
      <c r="H7" s="73"/>
      <c r="I7" s="73"/>
      <c r="J7" s="73"/>
      <c r="K7" s="73"/>
      <c r="L7" s="73"/>
      <c r="M7" s="73"/>
      <c r="N7" s="73" t="s">
        <v>6</v>
      </c>
      <c r="O7" s="73"/>
      <c r="P7" s="73"/>
      <c r="Q7" s="73"/>
      <c r="R7" s="73"/>
      <c r="S7" s="73"/>
      <c r="T7" s="73"/>
    </row>
    <row r="8" spans="6:32" x14ac:dyDescent="0.15">
      <c r="G8" s="5">
        <v>1</v>
      </c>
      <c r="H8" s="5">
        <v>2</v>
      </c>
      <c r="I8" s="74" t="s">
        <v>5</v>
      </c>
      <c r="J8" s="75"/>
      <c r="K8" s="76"/>
      <c r="L8" s="5">
        <v>29</v>
      </c>
      <c r="M8" s="5">
        <v>30</v>
      </c>
      <c r="N8" s="5">
        <v>1</v>
      </c>
      <c r="O8" s="5">
        <v>2</v>
      </c>
      <c r="P8" s="74" t="s">
        <v>5</v>
      </c>
      <c r="Q8" s="75"/>
      <c r="R8" s="76"/>
      <c r="S8" s="5">
        <v>30</v>
      </c>
      <c r="T8" s="5">
        <v>31</v>
      </c>
    </row>
    <row r="12" spans="6:32" x14ac:dyDescent="0.15"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6:32" x14ac:dyDescent="0.15"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6:32" x14ac:dyDescent="0.15"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6:32" x14ac:dyDescent="0.15">
      <c r="G15" s="7" t="s">
        <v>2</v>
      </c>
      <c r="X15" s="6"/>
      <c r="Y15" s="6"/>
      <c r="Z15" s="6"/>
      <c r="AA15" s="6"/>
      <c r="AB15" s="6"/>
      <c r="AC15" s="6"/>
      <c r="AD15" s="6"/>
      <c r="AE15" s="6"/>
      <c r="AF15" s="6"/>
    </row>
    <row r="16" spans="6:32" x14ac:dyDescent="0.15">
      <c r="F16" s="7"/>
      <c r="G16" s="6" t="s">
        <v>10</v>
      </c>
      <c r="X16" s="6"/>
      <c r="Y16" s="6"/>
      <c r="Z16" s="6"/>
      <c r="AA16" s="6"/>
      <c r="AB16" s="6"/>
      <c r="AC16" s="6"/>
      <c r="AD16" s="6"/>
      <c r="AE16" s="6"/>
      <c r="AF16" s="6"/>
    </row>
    <row r="17" spans="6:32" x14ac:dyDescent="0.15">
      <c r="X17" s="6"/>
      <c r="Y17" s="6"/>
      <c r="Z17" s="6"/>
      <c r="AA17" s="6"/>
      <c r="AB17" s="6"/>
      <c r="AC17" s="6"/>
      <c r="AD17" s="6"/>
      <c r="AE17" s="6"/>
      <c r="AF17" s="6"/>
    </row>
    <row r="18" spans="6:32" x14ac:dyDescent="0.15">
      <c r="F18" s="8" t="s">
        <v>1</v>
      </c>
      <c r="G18" s="73" t="s">
        <v>3</v>
      </c>
      <c r="H18" s="73"/>
      <c r="I18" s="73"/>
      <c r="J18" s="73"/>
      <c r="K18" s="73"/>
      <c r="L18" s="73"/>
      <c r="M18" s="73"/>
      <c r="N18" s="73" t="s">
        <v>4</v>
      </c>
      <c r="O18" s="73"/>
      <c r="P18" s="73"/>
      <c r="Q18" s="73"/>
      <c r="R18" s="73"/>
      <c r="S18" s="73"/>
      <c r="T18" s="73"/>
      <c r="X18" s="6"/>
      <c r="Y18" s="6"/>
      <c r="Z18" s="6"/>
      <c r="AA18" s="6"/>
      <c r="AB18" s="6"/>
      <c r="AC18" s="6"/>
      <c r="AD18" s="6"/>
      <c r="AE18" s="6"/>
      <c r="AF18" s="6"/>
    </row>
    <row r="19" spans="6:32" x14ac:dyDescent="0.15">
      <c r="G19" s="5">
        <v>1</v>
      </c>
      <c r="H19" s="5">
        <v>2</v>
      </c>
      <c r="I19" s="5">
        <v>3</v>
      </c>
      <c r="J19" s="5">
        <v>4</v>
      </c>
      <c r="K19" s="5">
        <v>5</v>
      </c>
      <c r="L19" s="5">
        <v>6</v>
      </c>
      <c r="M19" s="5">
        <v>7</v>
      </c>
      <c r="N19" s="5">
        <v>8</v>
      </c>
      <c r="O19" s="5">
        <v>9</v>
      </c>
      <c r="P19" s="5">
        <v>10</v>
      </c>
      <c r="Q19" s="5">
        <v>11</v>
      </c>
      <c r="R19" s="5">
        <v>12</v>
      </c>
      <c r="S19" s="5">
        <v>13</v>
      </c>
      <c r="T19" s="5">
        <v>14</v>
      </c>
      <c r="X19" s="6"/>
      <c r="Y19" s="6"/>
      <c r="Z19" s="6"/>
      <c r="AA19" s="6"/>
      <c r="AB19" s="6"/>
      <c r="AC19" s="6"/>
      <c r="AD19" s="6"/>
      <c r="AE19" s="6"/>
      <c r="AF19" s="6"/>
    </row>
    <row r="20" spans="6:32" x14ac:dyDescent="0.15">
      <c r="X20" s="6"/>
      <c r="Y20" s="6"/>
      <c r="Z20" s="6"/>
      <c r="AA20" s="6"/>
      <c r="AB20" s="6"/>
      <c r="AC20" s="6"/>
      <c r="AD20" s="6"/>
      <c r="AE20" s="6"/>
      <c r="AF20" s="6"/>
    </row>
    <row r="21" spans="6:32" x14ac:dyDescent="0.15">
      <c r="X21" s="6"/>
      <c r="Y21" s="6"/>
      <c r="Z21" s="6"/>
      <c r="AA21" s="6"/>
      <c r="AB21" s="6"/>
      <c r="AC21" s="6"/>
      <c r="AD21" s="6"/>
      <c r="AE21" s="6"/>
      <c r="AF21" s="6"/>
    </row>
    <row r="22" spans="6:32" x14ac:dyDescent="0.15"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6:32" x14ac:dyDescent="0.15"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6:32" x14ac:dyDescent="0.15"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6:32" x14ac:dyDescent="0.15"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6:32" x14ac:dyDescent="0.15"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6:32" x14ac:dyDescent="0.15"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6:32" x14ac:dyDescent="0.15"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6:32" x14ac:dyDescent="0.15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</sheetData>
  <mergeCells count="6">
    <mergeCell ref="G7:M7"/>
    <mergeCell ref="N7:T7"/>
    <mergeCell ref="I8:K8"/>
    <mergeCell ref="P8:R8"/>
    <mergeCell ref="G18:M18"/>
    <mergeCell ref="N18:T18"/>
  </mergeCells>
  <phoneticPr fontId="3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498</vt:i4>
      </vt:variant>
    </vt:vector>
  </HeadingPairs>
  <TitlesOfParts>
    <vt:vector size="501" baseType="lpstr">
      <vt:lpstr>PROJECT</vt:lpstr>
      <vt:lpstr>HOLIDAY</vt:lpstr>
      <vt:lpstr>Sheet2</vt:lpstr>
      <vt:lpstr>PROJECT!_plCalendar</vt:lpstr>
      <vt:lpstr>PROJECT!_plEndDate</vt:lpstr>
      <vt:lpstr>PROJECT!_PLHistory</vt:lpstr>
      <vt:lpstr>PROJECT!_plProgressLine</vt:lpstr>
      <vt:lpstr>PROJECT!_plProgressRatio</vt:lpstr>
      <vt:lpstr>PROJECT!_plStartDate</vt:lpstr>
      <vt:lpstr>PROJECT!_plTopTask</vt:lpstr>
      <vt:lpstr>PROJECT!_ts100_4428101954</vt:lpstr>
      <vt:lpstr>PROJECT!_ts101_4428101954</vt:lpstr>
      <vt:lpstr>PROJECT!_ts102_4428101954</vt:lpstr>
      <vt:lpstr>PROJECT!_ts103_4428101954</vt:lpstr>
      <vt:lpstr>PROJECT!_ts104_4428101954</vt:lpstr>
      <vt:lpstr>PROJECT!_ts105_4428101954</vt:lpstr>
      <vt:lpstr>PROJECT!_ts106_4428101954</vt:lpstr>
      <vt:lpstr>PROJECT!_ts107_4428101954</vt:lpstr>
      <vt:lpstr>PROJECT!_ts108_4428101954</vt:lpstr>
      <vt:lpstr>PROJECT!_ts109_4428101954</vt:lpstr>
      <vt:lpstr>PROJECT!_ts11_44280233847</vt:lpstr>
      <vt:lpstr>PROJECT!_ts110_4428101954</vt:lpstr>
      <vt:lpstr>PROJECT!_ts111_4428101954</vt:lpstr>
      <vt:lpstr>PROJECT!_ts112_4428101954</vt:lpstr>
      <vt:lpstr>PROJECT!_ts113_4428101954</vt:lpstr>
      <vt:lpstr>PROJECT!_ts114_4428101954</vt:lpstr>
      <vt:lpstr>PROJECT!_ts115_4428101954</vt:lpstr>
      <vt:lpstr>PROJECT!_ts116_4428101954</vt:lpstr>
      <vt:lpstr>PROJECT!_ts117_4428101954</vt:lpstr>
      <vt:lpstr>PROJECT!_ts118_4428101954</vt:lpstr>
      <vt:lpstr>PROJECT!_ts119_4428101954</vt:lpstr>
      <vt:lpstr>PROJECT!_ts12_44280233847</vt:lpstr>
      <vt:lpstr>PROJECT!_ts12_4428100037</vt:lpstr>
      <vt:lpstr>PROJECT!_ts120_4428101954</vt:lpstr>
      <vt:lpstr>PROJECT!_ts121_4428101954</vt:lpstr>
      <vt:lpstr>PROJECT!_ts122_4428101954</vt:lpstr>
      <vt:lpstr>PROJECT!_ts123_4428101954</vt:lpstr>
      <vt:lpstr>PROJECT!_ts124_4428101954</vt:lpstr>
      <vt:lpstr>PROJECT!_ts125_4428101954</vt:lpstr>
      <vt:lpstr>PROJECT!_ts126_4428101954</vt:lpstr>
      <vt:lpstr>PROJECT!_ts127_4428101954</vt:lpstr>
      <vt:lpstr>PROJECT!_ts128_4428101954</vt:lpstr>
      <vt:lpstr>PROJECT!_ts129_4428101954</vt:lpstr>
      <vt:lpstr>PROJECT!_ts13_44280233847</vt:lpstr>
      <vt:lpstr>PROJECT!_ts130_4428101954</vt:lpstr>
      <vt:lpstr>PROJECT!_ts131_4428101954</vt:lpstr>
      <vt:lpstr>PROJECT!_ts132_4428101954</vt:lpstr>
      <vt:lpstr>PROJECT!_ts133_4428101954</vt:lpstr>
      <vt:lpstr>PROJECT!_ts134_4428101954</vt:lpstr>
      <vt:lpstr>PROJECT!_ts135_4428101954</vt:lpstr>
      <vt:lpstr>PROJECT!_ts136_4428101954</vt:lpstr>
      <vt:lpstr>PROJECT!_ts137_4428101954</vt:lpstr>
      <vt:lpstr>PROJECT!_ts138_4428101954</vt:lpstr>
      <vt:lpstr>PROJECT!_ts139_4428101954</vt:lpstr>
      <vt:lpstr>PROJECT!_ts14_44280233847</vt:lpstr>
      <vt:lpstr>PROJECT!_ts140_4428101954</vt:lpstr>
      <vt:lpstr>PROJECT!_ts141_4428101954</vt:lpstr>
      <vt:lpstr>PROJECT!_ts142_4428101954</vt:lpstr>
      <vt:lpstr>PROJECT!_ts143_4428101954</vt:lpstr>
      <vt:lpstr>PROJECT!_ts144_4428101954</vt:lpstr>
      <vt:lpstr>PROJECT!_ts145_4428101954</vt:lpstr>
      <vt:lpstr>PROJECT!_ts146_4428101954</vt:lpstr>
      <vt:lpstr>PROJECT!_ts147_4428101954</vt:lpstr>
      <vt:lpstr>PROJECT!_ts148_4428101954</vt:lpstr>
      <vt:lpstr>PROJECT!_ts149_4428101954</vt:lpstr>
      <vt:lpstr>PROJECT!_ts15_44280233847</vt:lpstr>
      <vt:lpstr>PROJECT!_ts150_4428101954</vt:lpstr>
      <vt:lpstr>PROJECT!_ts151_4428101954</vt:lpstr>
      <vt:lpstr>PROJECT!_ts152_4428101954</vt:lpstr>
      <vt:lpstr>PROJECT!_ts153_4428101954</vt:lpstr>
      <vt:lpstr>PROJECT!_ts154_4428101954</vt:lpstr>
      <vt:lpstr>PROJECT!_ts155_4428101954</vt:lpstr>
      <vt:lpstr>PROJECT!_ts156_4428101954</vt:lpstr>
      <vt:lpstr>PROJECT!_ts157_4428101954</vt:lpstr>
      <vt:lpstr>PROJECT!_ts158_4428101954</vt:lpstr>
      <vt:lpstr>PROJECT!_ts159_4428101954</vt:lpstr>
      <vt:lpstr>PROJECT!_ts16_44280233847</vt:lpstr>
      <vt:lpstr>PROJECT!_ts160_4428101954</vt:lpstr>
      <vt:lpstr>PROJECT!_ts161_4428101954</vt:lpstr>
      <vt:lpstr>PROJECT!_ts162_4428101954</vt:lpstr>
      <vt:lpstr>PROJECT!_ts163_4428101954</vt:lpstr>
      <vt:lpstr>PROJECT!_ts164_4428101954</vt:lpstr>
      <vt:lpstr>PROJECT!_ts165_4428101954</vt:lpstr>
      <vt:lpstr>PROJECT!_ts166_4428101954</vt:lpstr>
      <vt:lpstr>PROJECT!_ts167_4428101954</vt:lpstr>
      <vt:lpstr>PROJECT!_ts168_4428101954</vt:lpstr>
      <vt:lpstr>PROJECT!_ts169_4428101954</vt:lpstr>
      <vt:lpstr>PROJECT!_ts17_44280233847</vt:lpstr>
      <vt:lpstr>PROJECT!_ts170_4428101954</vt:lpstr>
      <vt:lpstr>PROJECT!_ts171_4428101954</vt:lpstr>
      <vt:lpstr>PROJECT!_ts172_4428101954</vt:lpstr>
      <vt:lpstr>PROJECT!_ts173_4428101954</vt:lpstr>
      <vt:lpstr>PROJECT!_ts174_4428101954</vt:lpstr>
      <vt:lpstr>PROJECT!_ts175_4428101954</vt:lpstr>
      <vt:lpstr>PROJECT!_ts176_4428101954</vt:lpstr>
      <vt:lpstr>PROJECT!_ts177_4428101954</vt:lpstr>
      <vt:lpstr>PROJECT!_ts178_4428101954</vt:lpstr>
      <vt:lpstr>PROJECT!_ts179_4428101954</vt:lpstr>
      <vt:lpstr>PROJECT!_ts18_44280233847</vt:lpstr>
      <vt:lpstr>PROJECT!_ts180_4428101954</vt:lpstr>
      <vt:lpstr>PROJECT!_ts181_4428101954</vt:lpstr>
      <vt:lpstr>PROJECT!_ts182_4428101954</vt:lpstr>
      <vt:lpstr>PROJECT!_ts183_4428101954</vt:lpstr>
      <vt:lpstr>PROJECT!_ts184_4428101954</vt:lpstr>
      <vt:lpstr>PROJECT!_ts185_4428101954</vt:lpstr>
      <vt:lpstr>PROJECT!_ts186_4428101954</vt:lpstr>
      <vt:lpstr>PROJECT!_ts187_4428101954</vt:lpstr>
      <vt:lpstr>PROJECT!_ts188_4428101954</vt:lpstr>
      <vt:lpstr>PROJECT!_ts189_4428101954</vt:lpstr>
      <vt:lpstr>PROJECT!_ts19_44280233847</vt:lpstr>
      <vt:lpstr>PROJECT!_ts190_4428101954</vt:lpstr>
      <vt:lpstr>PROJECT!_ts191_4428101954</vt:lpstr>
      <vt:lpstr>PROJECT!_ts192_4428101954</vt:lpstr>
      <vt:lpstr>PROJECT!_ts193_4428101954</vt:lpstr>
      <vt:lpstr>PROJECT!_ts194_4428101954</vt:lpstr>
      <vt:lpstr>PROJECT!_ts195_4428101954</vt:lpstr>
      <vt:lpstr>PROJECT!_ts196_4428101954</vt:lpstr>
      <vt:lpstr>PROJECT!_ts197_4428101954</vt:lpstr>
      <vt:lpstr>PROJECT!_ts198_4428101954</vt:lpstr>
      <vt:lpstr>PROJECT!_ts199_4428101954</vt:lpstr>
      <vt:lpstr>PROJECT!_ts20_44280233847</vt:lpstr>
      <vt:lpstr>PROJECT!_ts200_4428101954</vt:lpstr>
      <vt:lpstr>PROJECT!_ts201_4428101954</vt:lpstr>
      <vt:lpstr>PROJECT!_ts202_4428101954</vt:lpstr>
      <vt:lpstr>PROJECT!_ts203_4428101954</vt:lpstr>
      <vt:lpstr>PROJECT!_ts204_4428101954</vt:lpstr>
      <vt:lpstr>PROJECT!_ts205_4428101954</vt:lpstr>
      <vt:lpstr>PROJECT!_ts206_4428101954</vt:lpstr>
      <vt:lpstr>PROJECT!_ts207_4428101954</vt:lpstr>
      <vt:lpstr>PROJECT!_ts208_4428101954</vt:lpstr>
      <vt:lpstr>PROJECT!_ts209_4428101954</vt:lpstr>
      <vt:lpstr>PROJECT!_ts21_44280233847</vt:lpstr>
      <vt:lpstr>PROJECT!_ts210_4428101954</vt:lpstr>
      <vt:lpstr>PROJECT!_ts211_4428101954</vt:lpstr>
      <vt:lpstr>PROJECT!_ts212_4428101954</vt:lpstr>
      <vt:lpstr>PROJECT!_ts213_4428101954</vt:lpstr>
      <vt:lpstr>PROJECT!_ts214_4428101954</vt:lpstr>
      <vt:lpstr>PROJECT!_ts215_4428101954</vt:lpstr>
      <vt:lpstr>PROJECT!_ts216_4428101954</vt:lpstr>
      <vt:lpstr>PROJECT!_ts217_4428101954</vt:lpstr>
      <vt:lpstr>PROJECT!_ts218_4428101954</vt:lpstr>
      <vt:lpstr>PROJECT!_ts219_4428101954</vt:lpstr>
      <vt:lpstr>PROJECT!_ts22_44280233847</vt:lpstr>
      <vt:lpstr>PROJECT!_ts220_4428101954</vt:lpstr>
      <vt:lpstr>PROJECT!_ts221_4428101954</vt:lpstr>
      <vt:lpstr>PROJECT!_ts222_4428101954</vt:lpstr>
      <vt:lpstr>PROJECT!_ts223_4428101954</vt:lpstr>
      <vt:lpstr>PROJECT!_ts224_4428101954</vt:lpstr>
      <vt:lpstr>PROJECT!_ts225_4428101954</vt:lpstr>
      <vt:lpstr>PROJECT!_ts226_4428101954</vt:lpstr>
      <vt:lpstr>PROJECT!_ts227_4428101954</vt:lpstr>
      <vt:lpstr>PROJECT!_ts228_4428101954</vt:lpstr>
      <vt:lpstr>PROJECT!_ts229_4428101954</vt:lpstr>
      <vt:lpstr>PROJECT!_ts23_44280233847</vt:lpstr>
      <vt:lpstr>PROJECT!_ts230_4428101954</vt:lpstr>
      <vt:lpstr>PROJECT!_ts231_4428101954</vt:lpstr>
      <vt:lpstr>PROJECT!_ts232_4428101954</vt:lpstr>
      <vt:lpstr>PROJECT!_ts233_4428101954</vt:lpstr>
      <vt:lpstr>PROJECT!_ts234_4428101954</vt:lpstr>
      <vt:lpstr>PROJECT!_ts235_4428101954</vt:lpstr>
      <vt:lpstr>PROJECT!_ts236_4428101954</vt:lpstr>
      <vt:lpstr>PROJECT!_ts237_4428101954</vt:lpstr>
      <vt:lpstr>PROJECT!_ts238_4428101954</vt:lpstr>
      <vt:lpstr>PROJECT!_ts239_4428101954</vt:lpstr>
      <vt:lpstr>PROJECT!_ts24_44280233847</vt:lpstr>
      <vt:lpstr>PROJECT!_ts240_4428101954</vt:lpstr>
      <vt:lpstr>PROJECT!_ts241_4428101954</vt:lpstr>
      <vt:lpstr>PROJECT!_ts242_4428101954</vt:lpstr>
      <vt:lpstr>PROJECT!_ts243_4428101954</vt:lpstr>
      <vt:lpstr>PROJECT!_ts244_4428101954</vt:lpstr>
      <vt:lpstr>PROJECT!_ts245_4428101954</vt:lpstr>
      <vt:lpstr>PROJECT!_ts246_4428101954</vt:lpstr>
      <vt:lpstr>PROJECT!_ts247_4428101954</vt:lpstr>
      <vt:lpstr>PROJECT!_ts248_4428101954</vt:lpstr>
      <vt:lpstr>PROJECT!_ts249_4428101954</vt:lpstr>
      <vt:lpstr>PROJECT!_ts25_44280233847</vt:lpstr>
      <vt:lpstr>PROJECT!_ts250_4428101954</vt:lpstr>
      <vt:lpstr>PROJECT!_ts251_4428101954</vt:lpstr>
      <vt:lpstr>PROJECT!_ts252_4428101954</vt:lpstr>
      <vt:lpstr>PROJECT!_ts253_4428101954</vt:lpstr>
      <vt:lpstr>PROJECT!_ts254_4428101954</vt:lpstr>
      <vt:lpstr>PROJECT!_ts255_4428101954</vt:lpstr>
      <vt:lpstr>PROJECT!_ts256_4428101954</vt:lpstr>
      <vt:lpstr>PROJECT!_ts257_4428101954</vt:lpstr>
      <vt:lpstr>PROJECT!_ts258_4428101954</vt:lpstr>
      <vt:lpstr>PROJECT!_ts259_4428101954</vt:lpstr>
      <vt:lpstr>PROJECT!_ts26_44280233847</vt:lpstr>
      <vt:lpstr>PROJECT!_ts260_4428101954</vt:lpstr>
      <vt:lpstr>PROJECT!_ts261_4428101954</vt:lpstr>
      <vt:lpstr>PROJECT!_ts262_4428101954</vt:lpstr>
      <vt:lpstr>PROJECT!_ts263_4428101954</vt:lpstr>
      <vt:lpstr>PROJECT!_ts264_4428101954</vt:lpstr>
      <vt:lpstr>PROJECT!_ts265_4428101954</vt:lpstr>
      <vt:lpstr>PROJECT!_ts266_4428101954</vt:lpstr>
      <vt:lpstr>PROJECT!_ts267_4428101954</vt:lpstr>
      <vt:lpstr>PROJECT!_ts268_4428101954</vt:lpstr>
      <vt:lpstr>PROJECT!_ts269_4428101954</vt:lpstr>
      <vt:lpstr>PROJECT!_ts27_44280233847</vt:lpstr>
      <vt:lpstr>PROJECT!_ts270_4428101954</vt:lpstr>
      <vt:lpstr>PROJECT!_ts271_4428101954</vt:lpstr>
      <vt:lpstr>PROJECT!_ts272_4428101954</vt:lpstr>
      <vt:lpstr>PROJECT!_ts273_4428101954</vt:lpstr>
      <vt:lpstr>PROJECT!_ts274_4428101954</vt:lpstr>
      <vt:lpstr>PROJECT!_ts275_4428101954</vt:lpstr>
      <vt:lpstr>PROJECT!_ts276_4428101954</vt:lpstr>
      <vt:lpstr>PROJECT!_ts277_4428101954</vt:lpstr>
      <vt:lpstr>PROJECT!_ts278_4428101954</vt:lpstr>
      <vt:lpstr>PROJECT!_ts279_4428101954</vt:lpstr>
      <vt:lpstr>PROJECT!_ts28_44280233847</vt:lpstr>
      <vt:lpstr>PROJECT!_ts280_4428101954</vt:lpstr>
      <vt:lpstr>PROJECT!_ts281_4428101954</vt:lpstr>
      <vt:lpstr>PROJECT!_ts282_4428101954</vt:lpstr>
      <vt:lpstr>PROJECT!_ts283_4428101954</vt:lpstr>
      <vt:lpstr>PROJECT!_ts284_4428101954</vt:lpstr>
      <vt:lpstr>PROJECT!_ts285_4428101954</vt:lpstr>
      <vt:lpstr>PROJECT!_ts286_4428101954</vt:lpstr>
      <vt:lpstr>PROJECT!_ts287_4428101954</vt:lpstr>
      <vt:lpstr>PROJECT!_ts288_4428101954</vt:lpstr>
      <vt:lpstr>PROJECT!_ts289_4428101954</vt:lpstr>
      <vt:lpstr>PROJECT!_ts29_44280233847</vt:lpstr>
      <vt:lpstr>PROJECT!_ts290_4428101954</vt:lpstr>
      <vt:lpstr>PROJECT!_ts291_4428101954</vt:lpstr>
      <vt:lpstr>PROJECT!_ts292_4428101954</vt:lpstr>
      <vt:lpstr>PROJECT!_ts293_4428101954</vt:lpstr>
      <vt:lpstr>PROJECT!_ts294_4428101954</vt:lpstr>
      <vt:lpstr>PROJECT!_ts295_4428101954</vt:lpstr>
      <vt:lpstr>PROJECT!_ts296_4428101954</vt:lpstr>
      <vt:lpstr>PROJECT!_ts297_4428101954</vt:lpstr>
      <vt:lpstr>PROJECT!_ts298_4428101954</vt:lpstr>
      <vt:lpstr>PROJECT!_ts299_4428101954</vt:lpstr>
      <vt:lpstr>PROJECT!_ts30_44280233847</vt:lpstr>
      <vt:lpstr>PROJECT!_ts300_4428101954</vt:lpstr>
      <vt:lpstr>PROJECT!_ts301_4428101954</vt:lpstr>
      <vt:lpstr>PROJECT!_ts302_4428101954</vt:lpstr>
      <vt:lpstr>PROJECT!_ts303_4428101954</vt:lpstr>
      <vt:lpstr>PROJECT!_ts304_4428101954</vt:lpstr>
      <vt:lpstr>PROJECT!_ts305_4428101954</vt:lpstr>
      <vt:lpstr>PROJECT!_ts306_4428101954</vt:lpstr>
      <vt:lpstr>PROJECT!_ts307_4428101954</vt:lpstr>
      <vt:lpstr>PROJECT!_ts308_4428101954</vt:lpstr>
      <vt:lpstr>PROJECT!_ts309_4428101954</vt:lpstr>
      <vt:lpstr>PROJECT!_ts31_44280233847</vt:lpstr>
      <vt:lpstr>PROJECT!_ts310_4428101954</vt:lpstr>
      <vt:lpstr>PROJECT!_ts311_4428101954</vt:lpstr>
      <vt:lpstr>PROJECT!_ts312_4428101954</vt:lpstr>
      <vt:lpstr>PROJECT!_ts313_4428101954</vt:lpstr>
      <vt:lpstr>PROJECT!_ts314_4428101954</vt:lpstr>
      <vt:lpstr>PROJECT!_ts315_4428101954</vt:lpstr>
      <vt:lpstr>PROJECT!_ts316_4428101954</vt:lpstr>
      <vt:lpstr>PROJECT!_ts317_4428101954</vt:lpstr>
      <vt:lpstr>PROJECT!_ts318_4428101954</vt:lpstr>
      <vt:lpstr>PROJECT!_ts319_4428101954</vt:lpstr>
      <vt:lpstr>PROJECT!_ts32_44280233847</vt:lpstr>
      <vt:lpstr>PROJECT!_ts320_4428101954</vt:lpstr>
      <vt:lpstr>PROJECT!_ts321_4428101954</vt:lpstr>
      <vt:lpstr>PROJECT!_ts322_4428101954</vt:lpstr>
      <vt:lpstr>PROJECT!_ts323_4428101954</vt:lpstr>
      <vt:lpstr>PROJECT!_ts324_4428101954</vt:lpstr>
      <vt:lpstr>PROJECT!_ts325_4428101954</vt:lpstr>
      <vt:lpstr>PROJECT!_ts326_4428101954</vt:lpstr>
      <vt:lpstr>PROJECT!_ts327_4428101954</vt:lpstr>
      <vt:lpstr>PROJECT!_ts328_4428101954</vt:lpstr>
      <vt:lpstr>PROJECT!_ts329_4428101954</vt:lpstr>
      <vt:lpstr>PROJECT!_ts33_44280233847</vt:lpstr>
      <vt:lpstr>PROJECT!_ts330_4428101954</vt:lpstr>
      <vt:lpstr>PROJECT!_ts331_4428101954</vt:lpstr>
      <vt:lpstr>PROJECT!_ts332_4428101954</vt:lpstr>
      <vt:lpstr>PROJECT!_ts333_4428101954</vt:lpstr>
      <vt:lpstr>PROJECT!_ts334_4428101954</vt:lpstr>
      <vt:lpstr>PROJECT!_ts335_4428101954</vt:lpstr>
      <vt:lpstr>PROJECT!_ts336_4428101954</vt:lpstr>
      <vt:lpstr>PROJECT!_ts337_4428101954</vt:lpstr>
      <vt:lpstr>PROJECT!_ts338_4428101954</vt:lpstr>
      <vt:lpstr>PROJECT!_ts339_4428101954</vt:lpstr>
      <vt:lpstr>PROJECT!_ts34_44280233847</vt:lpstr>
      <vt:lpstr>PROJECT!_ts340_4428101954</vt:lpstr>
      <vt:lpstr>PROJECT!_ts341_4428101954</vt:lpstr>
      <vt:lpstr>PROJECT!_ts342_4428101954</vt:lpstr>
      <vt:lpstr>PROJECT!_ts343_4428101954</vt:lpstr>
      <vt:lpstr>PROJECT!_ts344_4428101954</vt:lpstr>
      <vt:lpstr>PROJECT!_ts345_4428101954</vt:lpstr>
      <vt:lpstr>PROJECT!_ts346_4428101954</vt:lpstr>
      <vt:lpstr>PROJECT!_ts347_4428101954</vt:lpstr>
      <vt:lpstr>PROJECT!_ts348_4428101954</vt:lpstr>
      <vt:lpstr>PROJECT!_ts349_4428101954</vt:lpstr>
      <vt:lpstr>PROJECT!_ts35_44280233847</vt:lpstr>
      <vt:lpstr>PROJECT!_ts350_4428101954</vt:lpstr>
      <vt:lpstr>PROJECT!_ts351_4428101954</vt:lpstr>
      <vt:lpstr>PROJECT!_ts352_4428101954</vt:lpstr>
      <vt:lpstr>PROJECT!_ts353_4428101954</vt:lpstr>
      <vt:lpstr>PROJECT!_ts354_4428101954</vt:lpstr>
      <vt:lpstr>PROJECT!_ts355_4428101954</vt:lpstr>
      <vt:lpstr>PROJECT!_ts356_4428101954</vt:lpstr>
      <vt:lpstr>PROJECT!_ts357_4428101954</vt:lpstr>
      <vt:lpstr>PROJECT!_ts358_4428101954</vt:lpstr>
      <vt:lpstr>PROJECT!_ts359_4428101954</vt:lpstr>
      <vt:lpstr>PROJECT!_ts360_4428101954</vt:lpstr>
      <vt:lpstr>PROJECT!_ts361_4428101954</vt:lpstr>
      <vt:lpstr>PROJECT!_ts362_4428101954</vt:lpstr>
      <vt:lpstr>PROJECT!_ts363_4428101954</vt:lpstr>
      <vt:lpstr>PROJECT!_ts364_4428101954</vt:lpstr>
      <vt:lpstr>PROJECT!_ts365_4428101954</vt:lpstr>
      <vt:lpstr>PROJECT!_ts366_4428101954</vt:lpstr>
      <vt:lpstr>PROJECT!_ts367_4428101954</vt:lpstr>
      <vt:lpstr>PROJECT!_ts368_4428101954</vt:lpstr>
      <vt:lpstr>PROJECT!_ts369_4428101954</vt:lpstr>
      <vt:lpstr>PROJECT!_ts37_44280233847</vt:lpstr>
      <vt:lpstr>PROJECT!_ts37_4428101954</vt:lpstr>
      <vt:lpstr>PROJECT!_ts370_4428101954</vt:lpstr>
      <vt:lpstr>PROJECT!_ts371_4428101954</vt:lpstr>
      <vt:lpstr>PROJECT!_ts372_4428101954</vt:lpstr>
      <vt:lpstr>PROJECT!_ts373_4428101954</vt:lpstr>
      <vt:lpstr>PROJECT!_ts374_4428101954</vt:lpstr>
      <vt:lpstr>PROJECT!_ts375_4428101954</vt:lpstr>
      <vt:lpstr>PROJECT!_ts376_4428101954</vt:lpstr>
      <vt:lpstr>PROJECT!_ts377_4428101954</vt:lpstr>
      <vt:lpstr>PROJECT!_ts378_4428101954</vt:lpstr>
      <vt:lpstr>PROJECT!_ts379_4428101954</vt:lpstr>
      <vt:lpstr>PROJECT!_ts38_44280233847</vt:lpstr>
      <vt:lpstr>PROJECT!_ts380_4428101954</vt:lpstr>
      <vt:lpstr>PROJECT!_ts381_4428101954</vt:lpstr>
      <vt:lpstr>PROJECT!_ts382_4428101954</vt:lpstr>
      <vt:lpstr>PROJECT!_ts383_4428101954</vt:lpstr>
      <vt:lpstr>PROJECT!_ts384_4428101954</vt:lpstr>
      <vt:lpstr>PROJECT!_ts385_4428101954</vt:lpstr>
      <vt:lpstr>PROJECT!_ts386_4428101954</vt:lpstr>
      <vt:lpstr>PROJECT!_ts387_4428101954</vt:lpstr>
      <vt:lpstr>PROJECT!_ts388_4428101954</vt:lpstr>
      <vt:lpstr>PROJECT!_ts389_4428101954</vt:lpstr>
      <vt:lpstr>PROJECT!_ts39_44280233847</vt:lpstr>
      <vt:lpstr>PROJECT!_ts390_4428101954</vt:lpstr>
      <vt:lpstr>PROJECT!_ts391_4428101954</vt:lpstr>
      <vt:lpstr>PROJECT!_ts392_4428101954</vt:lpstr>
      <vt:lpstr>PROJECT!_ts393_4428101954</vt:lpstr>
      <vt:lpstr>PROJECT!_ts394_4428101954</vt:lpstr>
      <vt:lpstr>PROJECT!_ts395_4428101954</vt:lpstr>
      <vt:lpstr>PROJECT!_ts396_4428101954</vt:lpstr>
      <vt:lpstr>PROJECT!_ts397_4428101954</vt:lpstr>
      <vt:lpstr>PROJECT!_ts398_4428101954</vt:lpstr>
      <vt:lpstr>PROJECT!_ts399_4428101954</vt:lpstr>
      <vt:lpstr>PROJECT!_ts40_44280233847</vt:lpstr>
      <vt:lpstr>PROJECT!_ts400_4428101954</vt:lpstr>
      <vt:lpstr>PROJECT!_ts401_4428101954</vt:lpstr>
      <vt:lpstr>PROJECT!_ts402_4428101954</vt:lpstr>
      <vt:lpstr>PROJECT!_ts403_4428101954</vt:lpstr>
      <vt:lpstr>PROJECT!_ts404_4428101954</vt:lpstr>
      <vt:lpstr>PROJECT!_ts405_4428101954</vt:lpstr>
      <vt:lpstr>PROJECT!_ts406_4428101954</vt:lpstr>
      <vt:lpstr>PROJECT!_ts407_4428101954</vt:lpstr>
      <vt:lpstr>PROJECT!_ts408_4428101954</vt:lpstr>
      <vt:lpstr>PROJECT!_ts409_4428101954</vt:lpstr>
      <vt:lpstr>PROJECT!_ts41_44280233847</vt:lpstr>
      <vt:lpstr>PROJECT!_ts410_4428101954</vt:lpstr>
      <vt:lpstr>PROJECT!_ts411_4428101954</vt:lpstr>
      <vt:lpstr>PROJECT!_ts412_4428101954</vt:lpstr>
      <vt:lpstr>PROJECT!_ts413_4428101954</vt:lpstr>
      <vt:lpstr>PROJECT!_ts414_4428101954</vt:lpstr>
      <vt:lpstr>PROJECT!_ts415_4428101954</vt:lpstr>
      <vt:lpstr>PROJECT!_ts416_4428101954</vt:lpstr>
      <vt:lpstr>PROJECT!_ts417_4428101954</vt:lpstr>
      <vt:lpstr>PROJECT!_ts418_4428101954</vt:lpstr>
      <vt:lpstr>PROJECT!_ts419_4428101954</vt:lpstr>
      <vt:lpstr>PROJECT!_ts42_44280233847</vt:lpstr>
      <vt:lpstr>PROJECT!_ts420_4428101954</vt:lpstr>
      <vt:lpstr>PROJECT!_ts421_4428101954</vt:lpstr>
      <vt:lpstr>PROJECT!_ts422_4428101954</vt:lpstr>
      <vt:lpstr>PROJECT!_ts423_4428101954</vt:lpstr>
      <vt:lpstr>PROJECT!_ts424_4428101954</vt:lpstr>
      <vt:lpstr>PROJECT!_ts425_4428101954</vt:lpstr>
      <vt:lpstr>PROJECT!_ts426_4428101954</vt:lpstr>
      <vt:lpstr>PROJECT!_ts427_4428101954</vt:lpstr>
      <vt:lpstr>PROJECT!_ts428_4428101954</vt:lpstr>
      <vt:lpstr>PROJECT!_ts429_4428101954</vt:lpstr>
      <vt:lpstr>PROJECT!_ts43_44280233847</vt:lpstr>
      <vt:lpstr>PROJECT!_ts430_4428101954</vt:lpstr>
      <vt:lpstr>PROJECT!_ts431_4428101954</vt:lpstr>
      <vt:lpstr>PROJECT!_ts432_4428101954</vt:lpstr>
      <vt:lpstr>PROJECT!_ts433_4428101954</vt:lpstr>
      <vt:lpstr>PROJECT!_ts434_4428101954</vt:lpstr>
      <vt:lpstr>PROJECT!_ts435_4428101954</vt:lpstr>
      <vt:lpstr>PROJECT!_ts436_4428101954</vt:lpstr>
      <vt:lpstr>PROJECT!_ts437_4428101954</vt:lpstr>
      <vt:lpstr>PROJECT!_ts438_4428101954</vt:lpstr>
      <vt:lpstr>PROJECT!_ts439_4428101954</vt:lpstr>
      <vt:lpstr>PROJECT!_ts44_44280233847</vt:lpstr>
      <vt:lpstr>PROJECT!_ts440_4428101954</vt:lpstr>
      <vt:lpstr>PROJECT!_ts441_4428101954</vt:lpstr>
      <vt:lpstr>PROJECT!_ts442_4428101954</vt:lpstr>
      <vt:lpstr>PROJECT!_ts443_4428101954</vt:lpstr>
      <vt:lpstr>PROJECT!_ts444_4428101954</vt:lpstr>
      <vt:lpstr>PROJECT!_ts445_4428101954</vt:lpstr>
      <vt:lpstr>PROJECT!_ts446_4428101954</vt:lpstr>
      <vt:lpstr>PROJECT!_ts447_4428101954</vt:lpstr>
      <vt:lpstr>PROJECT!_ts448_4428101954</vt:lpstr>
      <vt:lpstr>PROJECT!_ts449_4428101954</vt:lpstr>
      <vt:lpstr>PROJECT!_ts45_44280233847</vt:lpstr>
      <vt:lpstr>PROJECT!_ts450_4428101954</vt:lpstr>
      <vt:lpstr>PROJECT!_ts451_4428101954</vt:lpstr>
      <vt:lpstr>PROJECT!_ts452_4428101954</vt:lpstr>
      <vt:lpstr>PROJECT!_ts453_4428101954</vt:lpstr>
      <vt:lpstr>PROJECT!_ts454_4428101954</vt:lpstr>
      <vt:lpstr>PROJECT!_ts455_4428101954</vt:lpstr>
      <vt:lpstr>PROJECT!_ts456_4428101954</vt:lpstr>
      <vt:lpstr>PROJECT!_ts457_4428101954</vt:lpstr>
      <vt:lpstr>PROJECT!_ts458_4428101954</vt:lpstr>
      <vt:lpstr>PROJECT!_ts459_4428101954</vt:lpstr>
      <vt:lpstr>PROJECT!_ts46_44280233847</vt:lpstr>
      <vt:lpstr>PROJECT!_ts460_4428101954</vt:lpstr>
      <vt:lpstr>PROJECT!_ts461_4428101954</vt:lpstr>
      <vt:lpstr>PROJECT!_ts462_4428101954</vt:lpstr>
      <vt:lpstr>PROJECT!_ts463_4428101954</vt:lpstr>
      <vt:lpstr>PROJECT!_ts464_4428101954</vt:lpstr>
      <vt:lpstr>PROJECT!_ts465_4428101954</vt:lpstr>
      <vt:lpstr>PROJECT!_ts466_4428101954</vt:lpstr>
      <vt:lpstr>PROJECT!_ts467_4428101954</vt:lpstr>
      <vt:lpstr>PROJECT!_ts468_4428101954</vt:lpstr>
      <vt:lpstr>PROJECT!_ts469_4428101954</vt:lpstr>
      <vt:lpstr>PROJECT!_ts47_44280233847</vt:lpstr>
      <vt:lpstr>PROJECT!_ts470_4428101954</vt:lpstr>
      <vt:lpstr>PROJECT!_ts471_4428101954</vt:lpstr>
      <vt:lpstr>PROJECT!_ts472_4428101954</vt:lpstr>
      <vt:lpstr>PROJECT!_ts473_4428101954</vt:lpstr>
      <vt:lpstr>PROJECT!_ts474_4428101954</vt:lpstr>
      <vt:lpstr>PROJECT!_ts475_4428101954</vt:lpstr>
      <vt:lpstr>PROJECT!_ts476_4428101954</vt:lpstr>
      <vt:lpstr>PROJECT!_ts477_4428101954</vt:lpstr>
      <vt:lpstr>PROJECT!_ts478_4428101954</vt:lpstr>
      <vt:lpstr>PROJECT!_ts479_4428101954</vt:lpstr>
      <vt:lpstr>PROJECT!_ts480_4428101954</vt:lpstr>
      <vt:lpstr>PROJECT!_ts481_4428101954</vt:lpstr>
      <vt:lpstr>PROJECT!_ts482_4428101954</vt:lpstr>
      <vt:lpstr>PROJECT!_ts483_4428101954</vt:lpstr>
      <vt:lpstr>PROJECT!_ts484_4428101954</vt:lpstr>
      <vt:lpstr>PROJECT!_ts485_4428101954</vt:lpstr>
      <vt:lpstr>PROJECT!_ts486_4428101954</vt:lpstr>
      <vt:lpstr>PROJECT!_ts487_4428101954</vt:lpstr>
      <vt:lpstr>PROJECT!_ts488_4428101954</vt:lpstr>
      <vt:lpstr>PROJECT!_ts489_4428101954</vt:lpstr>
      <vt:lpstr>PROJECT!_ts49_4428101730</vt:lpstr>
      <vt:lpstr>PROJECT!_ts490_4428101954</vt:lpstr>
      <vt:lpstr>PROJECT!_ts491_4428101954</vt:lpstr>
      <vt:lpstr>PROJECT!_ts492_4428101954</vt:lpstr>
      <vt:lpstr>PROJECT!_ts493_4428101954</vt:lpstr>
      <vt:lpstr>PROJECT!_ts494_4428101954</vt:lpstr>
      <vt:lpstr>PROJECT!_ts495_4428101954</vt:lpstr>
      <vt:lpstr>PROJECT!_ts496_4428101954</vt:lpstr>
      <vt:lpstr>PROJECT!_ts497_4428101954</vt:lpstr>
      <vt:lpstr>PROJECT!_ts498_4428101954</vt:lpstr>
      <vt:lpstr>PROJECT!_ts499_4428101954</vt:lpstr>
      <vt:lpstr>PROJECT!_ts50_4428101954</vt:lpstr>
      <vt:lpstr>PROJECT!_ts500_4428101954</vt:lpstr>
      <vt:lpstr>PROJECT!_ts51_4428101954</vt:lpstr>
      <vt:lpstr>PROJECT!_ts52_4428101954</vt:lpstr>
      <vt:lpstr>PROJECT!_ts53_4428101954</vt:lpstr>
      <vt:lpstr>PROJECT!_ts54_4428101954</vt:lpstr>
      <vt:lpstr>PROJECT!_ts55_4428101954</vt:lpstr>
      <vt:lpstr>PROJECT!_ts56_4428101954</vt:lpstr>
      <vt:lpstr>PROJECT!_ts57_4428101954</vt:lpstr>
      <vt:lpstr>PROJECT!_ts58_4428101954</vt:lpstr>
      <vt:lpstr>PROJECT!_ts59_4428101954</vt:lpstr>
      <vt:lpstr>PROJECT!_ts60_4428101954</vt:lpstr>
      <vt:lpstr>PROJECT!_ts61_4428101954</vt:lpstr>
      <vt:lpstr>PROJECT!_ts62_4428101954</vt:lpstr>
      <vt:lpstr>PROJECT!_ts63_4428101954</vt:lpstr>
      <vt:lpstr>PROJECT!_ts64_4428101954</vt:lpstr>
      <vt:lpstr>PROJECT!_ts65_4428101954</vt:lpstr>
      <vt:lpstr>PROJECT!_ts66_4428101954</vt:lpstr>
      <vt:lpstr>PROJECT!_ts67_4428101954</vt:lpstr>
      <vt:lpstr>PROJECT!_ts68_4428101954</vt:lpstr>
      <vt:lpstr>PROJECT!_ts69_4428101954</vt:lpstr>
      <vt:lpstr>PROJECT!_ts70_4428101954</vt:lpstr>
      <vt:lpstr>PROJECT!_ts71_4428101954</vt:lpstr>
      <vt:lpstr>PROJECT!_ts72_4428101954</vt:lpstr>
      <vt:lpstr>PROJECT!_ts73_4428101954</vt:lpstr>
      <vt:lpstr>PROJECT!_ts74_4428101954</vt:lpstr>
      <vt:lpstr>PROJECT!_ts75_4428101954</vt:lpstr>
      <vt:lpstr>PROJECT!_ts76_4428101954</vt:lpstr>
      <vt:lpstr>PROJECT!_ts77_4428101954</vt:lpstr>
      <vt:lpstr>PROJECT!_ts78_4428101954</vt:lpstr>
      <vt:lpstr>PROJECT!_ts79_4428101954</vt:lpstr>
      <vt:lpstr>PROJECT!_ts80_4428101954</vt:lpstr>
      <vt:lpstr>PROJECT!_ts81_4428101954</vt:lpstr>
      <vt:lpstr>PROJECT!_ts82_4428101954</vt:lpstr>
      <vt:lpstr>PROJECT!_ts83_4428101954</vt:lpstr>
      <vt:lpstr>PROJECT!_ts84_4428101954</vt:lpstr>
      <vt:lpstr>PROJECT!_ts85_4428101954</vt:lpstr>
      <vt:lpstr>PROJECT!_ts86_4428101954</vt:lpstr>
      <vt:lpstr>PROJECT!_ts87_4428101954</vt:lpstr>
      <vt:lpstr>PROJECT!_ts88_4428101954</vt:lpstr>
      <vt:lpstr>PROJECT!_ts89_4428101954</vt:lpstr>
      <vt:lpstr>PROJECT!_ts90_4428101954</vt:lpstr>
      <vt:lpstr>PROJECT!_ts91_4428101954</vt:lpstr>
      <vt:lpstr>PROJECT!_ts92_4428101954</vt:lpstr>
      <vt:lpstr>PROJECT!_ts93_4428101954</vt:lpstr>
      <vt:lpstr>PROJECT!_ts94_4428101954</vt:lpstr>
      <vt:lpstr>PROJECT!_ts95_4428101954</vt:lpstr>
      <vt:lpstr>PROJECT!_ts96_4428101954</vt:lpstr>
      <vt:lpstr>PROJECT!_ts97_4428101954</vt:lpstr>
      <vt:lpstr>PROJECT!_ts98_4428101954</vt:lpstr>
      <vt:lpstr>PROJECT!_ts99_4428101954</vt:lpstr>
      <vt:lpstr>HOLIDAYTBL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2021-01-19T08:39:26Z</dcterms:created>
  <dcterms:modified xsi:type="dcterms:W3CDTF">2021-03-25T15:22:21Z</dcterms:modified>
</cp:coreProperties>
</file>