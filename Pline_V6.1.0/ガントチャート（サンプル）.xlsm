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filterPrivacy="1" codeName="ThisWorkbook"/>
  <xr:revisionPtr revIDLastSave="0" documentId="13_ncr:1_{BC7B3BF7-97D2-40B6-B376-F241029371E3}" xr6:coauthVersionLast="46" xr6:coauthVersionMax="46" xr10:uidLastSave="{00000000-0000-0000-0000-000000000000}"/>
  <bookViews>
    <workbookView xWindow="-120" yWindow="-120" windowWidth="29040" windowHeight="15990" tabRatio="598" xr2:uid="{00000000-000D-0000-FFFF-FFFF00000000}"/>
  </bookViews>
  <sheets>
    <sheet name="Project Sheet" sheetId="42" r:id="rId1"/>
    <sheet name="描画シート設定の例 (週次)" sheetId="44" r:id="rId2"/>
    <sheet name="描画シート設定の例 (月次)" sheetId="46" r:id="rId3"/>
    <sheet name="HOLIDAY" sheetId="43" r:id="rId4"/>
    <sheet name="Sheet2" sheetId="45" state="hidden" r:id="rId5"/>
  </sheets>
  <functionGroups builtInGroupCount="19"/>
  <externalReferences>
    <externalReference r:id="rId6"/>
  </externalReferences>
  <definedNames>
    <definedName name="_plCalendar" localSheetId="0">'Project Sheet'!$N$9:$BV$9</definedName>
    <definedName name="_plCalendar" localSheetId="2">'描画シート設定の例 (月次)'!$N$3:$BV$3</definedName>
    <definedName name="_plCalendar" localSheetId="1">'描画シート設定の例 (週次)'!$N$3:$BV$3</definedName>
    <definedName name="_plEndDate" localSheetId="0">'Project Sheet'!$K$11</definedName>
    <definedName name="_plEndDate" localSheetId="2">'描画シート設定の例 (月次)'!$H$5</definedName>
    <definedName name="_plEndDate" localSheetId="1">'描画シート設定の例 (週次)'!$H$5</definedName>
    <definedName name="_plProgressLine" localSheetId="0">'Project Sheet'!$9:$49</definedName>
    <definedName name="_plProgressLine" localSheetId="2">'描画シート設定の例 (月次)'!$3:$43</definedName>
    <definedName name="_plProgressLine" localSheetId="1">'描画シート設定の例 (週次)'!$3:$43</definedName>
    <definedName name="_plProgressRatio" localSheetId="0">'Project Sheet'!$I$11</definedName>
    <definedName name="_plProgressRatio" localSheetId="2">'描画シート設定の例 (月次)'!$M$5</definedName>
    <definedName name="_plProgressRatio" localSheetId="1">'描画シート設定の例 (週次)'!$M$5</definedName>
    <definedName name="_plStartDate" localSheetId="0">'Project Sheet'!$J$11</definedName>
    <definedName name="_plStartDate" localSheetId="2">'描画シート設定の例 (月次)'!$G$5</definedName>
    <definedName name="_plStartDate" localSheetId="1">'描画シート設定の例 (週次)'!$G$5</definedName>
    <definedName name="_plTopTask" localSheetId="0">'Project Sheet'!$A$11</definedName>
    <definedName name="_plTopTask" localSheetId="2">'描画シート設定の例 (月次)'!$A$5</definedName>
    <definedName name="_plTopTask" localSheetId="1">'描画シート設定の例 (週次)'!$A$5</definedName>
    <definedName name="date" localSheetId="0">'[1]Simple Gantt Chart'!A$5</definedName>
    <definedName name="HOLIDAYTBL">HOLIDAY!$A$1:$A$65535</definedName>
  </definedNames>
  <calcPr calcId="191029"/>
</workbook>
</file>

<file path=xl/calcChain.xml><?xml version="1.0" encoding="utf-8"?>
<calcChain xmlns="http://schemas.openxmlformats.org/spreadsheetml/2006/main">
  <c r="N3" i="44" l="1"/>
  <c r="H23" i="46"/>
  <c r="H9" i="46"/>
  <c r="H10" i="46"/>
  <c r="H11" i="46"/>
  <c r="H12" i="46"/>
  <c r="H13" i="46"/>
  <c r="H14" i="46"/>
  <c r="H15" i="46"/>
  <c r="H16" i="46"/>
  <c r="H17" i="46"/>
  <c r="N3" i="46"/>
  <c r="O3" i="46" s="1"/>
  <c r="P3" i="46" l="1"/>
  <c r="Q3" i="46" s="1"/>
  <c r="R3" i="46" s="1"/>
  <c r="S3" i="46" s="1"/>
  <c r="T3" i="46" s="1"/>
  <c r="U3" i="46" s="1"/>
  <c r="V3" i="46" s="1"/>
  <c r="W3" i="46" s="1"/>
  <c r="X3" i="46" s="1"/>
  <c r="Y3" i="46" s="1"/>
  <c r="Z3" i="46" s="1"/>
  <c r="AA3" i="46" s="1"/>
  <c r="AB3" i="46" s="1"/>
  <c r="AC3" i="46" s="1"/>
  <c r="AD3" i="46" s="1"/>
  <c r="AE3" i="46" s="1"/>
  <c r="AF3" i="46" s="1"/>
  <c r="AG3" i="46" s="1"/>
  <c r="AH3" i="46" s="1"/>
  <c r="AI3" i="46" s="1"/>
  <c r="AJ3" i="46" s="1"/>
  <c r="AK3" i="46" s="1"/>
  <c r="AL3" i="46" s="1"/>
  <c r="AM3" i="46" s="1"/>
  <c r="AN3" i="46" s="1"/>
  <c r="AO3" i="46" s="1"/>
  <c r="AP3" i="46" s="1"/>
  <c r="AQ3" i="46" s="1"/>
  <c r="AR3" i="46" s="1"/>
  <c r="AS3" i="46" s="1"/>
  <c r="AT3" i="46" s="1"/>
  <c r="AU3" i="46" s="1"/>
  <c r="AV3" i="46" s="1"/>
  <c r="AW3" i="46" s="1"/>
  <c r="AX3" i="46" s="1"/>
  <c r="AY3" i="46" s="1"/>
  <c r="AZ3" i="46" s="1"/>
  <c r="BA3" i="46" s="1"/>
  <c r="BB3" i="46" s="1"/>
  <c r="BC3" i="46" s="1"/>
  <c r="BD3" i="46" s="1"/>
  <c r="BE3" i="46" s="1"/>
  <c r="BF3" i="46" s="1"/>
  <c r="BG3" i="46" s="1"/>
  <c r="BH3" i="46" s="1"/>
  <c r="BI3" i="46" s="1"/>
  <c r="BJ3" i="46" s="1"/>
  <c r="BK3" i="46" s="1"/>
  <c r="BL3" i="46" s="1"/>
  <c r="BM3" i="46" s="1"/>
  <c r="BN3" i="46" s="1"/>
  <c r="BO3" i="46" s="1"/>
  <c r="BP3" i="46" s="1"/>
  <c r="BQ3" i="46" s="1"/>
  <c r="BR3" i="46" s="1"/>
  <c r="BS3" i="46" s="1"/>
  <c r="BT3" i="46" s="1"/>
  <c r="BU3" i="46" s="1"/>
  <c r="BV3" i="46" s="1"/>
  <c r="BW3" i="46" s="1"/>
  <c r="BX3" i="46" s="1"/>
  <c r="BY3" i="46" s="1"/>
  <c r="BZ3" i="46" s="1"/>
  <c r="CA3" i="46" s="1"/>
  <c r="CB3" i="46" s="1"/>
  <c r="CC3" i="46" s="1"/>
  <c r="CD3" i="46" s="1"/>
  <c r="CE3" i="46" s="1"/>
  <c r="CF3" i="46" s="1"/>
  <c r="CG3" i="46" s="1"/>
  <c r="CH3" i="46" s="1"/>
  <c r="CI3" i="46" s="1"/>
  <c r="CJ3" i="46" s="1"/>
  <c r="CK3" i="46" s="1"/>
  <c r="CL3" i="46" s="1"/>
  <c r="CM3" i="46" s="1"/>
  <c r="CN3" i="46" s="1"/>
  <c r="CO3" i="46" s="1"/>
  <c r="CP3" i="46" s="1"/>
  <c r="CQ3" i="46" s="1"/>
  <c r="CR3" i="46" s="1"/>
  <c r="CS3" i="46" s="1"/>
  <c r="CT3" i="46" s="1"/>
  <c r="CU3" i="46" s="1"/>
  <c r="CV3" i="46" s="1"/>
  <c r="CW3" i="46" s="1"/>
  <c r="CX3" i="46" s="1"/>
  <c r="CY3" i="46" s="1"/>
  <c r="CZ3" i="46" s="1"/>
  <c r="M54" i="46" l="1"/>
  <c r="M53" i="46"/>
  <c r="M52" i="46"/>
  <c r="M51" i="46"/>
  <c r="M50" i="46"/>
  <c r="M49" i="46"/>
  <c r="M48" i="46"/>
  <c r="M47" i="46"/>
  <c r="M46" i="46"/>
  <c r="M45" i="46"/>
  <c r="M44" i="46"/>
  <c r="M43" i="46"/>
  <c r="M42" i="46"/>
  <c r="H42" i="46"/>
  <c r="G42" i="46"/>
  <c r="M41" i="46"/>
  <c r="H41" i="46"/>
  <c r="G41" i="46"/>
  <c r="M40" i="46"/>
  <c r="H40" i="46"/>
  <c r="G40" i="46"/>
  <c r="M39" i="46"/>
  <c r="H39" i="46"/>
  <c r="G39" i="46"/>
  <c r="H38" i="46"/>
  <c r="G38" i="46"/>
  <c r="M37" i="46"/>
  <c r="H37" i="46"/>
  <c r="G37" i="46"/>
  <c r="M36" i="46"/>
  <c r="H36" i="46"/>
  <c r="G36" i="46"/>
  <c r="M35" i="46"/>
  <c r="H35" i="46"/>
  <c r="G35" i="46"/>
  <c r="M34" i="46"/>
  <c r="H34" i="46"/>
  <c r="G34" i="46"/>
  <c r="M33" i="46"/>
  <c r="H33" i="46"/>
  <c r="G33" i="46"/>
  <c r="M32" i="46"/>
  <c r="H32" i="46"/>
  <c r="G32" i="46"/>
  <c r="M31" i="46"/>
  <c r="H31" i="46"/>
  <c r="G31" i="46"/>
  <c r="M30" i="46"/>
  <c r="H30" i="46"/>
  <c r="G30" i="46"/>
  <c r="M29" i="46"/>
  <c r="H29" i="46"/>
  <c r="G29" i="46"/>
  <c r="M28" i="46"/>
  <c r="H28" i="46"/>
  <c r="G28" i="46"/>
  <c r="M27" i="46"/>
  <c r="H27" i="46"/>
  <c r="G27" i="46"/>
  <c r="M26" i="46"/>
  <c r="H26" i="46"/>
  <c r="G26" i="46"/>
  <c r="M25" i="46"/>
  <c r="H25" i="46"/>
  <c r="G25" i="46"/>
  <c r="M24" i="46"/>
  <c r="H24" i="46"/>
  <c r="G24" i="46"/>
  <c r="M23" i="46"/>
  <c r="G23" i="46"/>
  <c r="M22" i="46"/>
  <c r="H22" i="46"/>
  <c r="G22" i="46"/>
  <c r="M21" i="46"/>
  <c r="H21" i="46"/>
  <c r="G21" i="46"/>
  <c r="M20" i="46"/>
  <c r="H20" i="46"/>
  <c r="G20" i="46"/>
  <c r="M19" i="46"/>
  <c r="H19" i="46"/>
  <c r="G19" i="46"/>
  <c r="M18" i="46"/>
  <c r="H18" i="46"/>
  <c r="G18" i="46"/>
  <c r="G17" i="46"/>
  <c r="M16" i="46"/>
  <c r="G16" i="46"/>
  <c r="M15" i="46"/>
  <c r="G15" i="46"/>
  <c r="M14" i="46"/>
  <c r="G14" i="46"/>
  <c r="M13" i="46"/>
  <c r="G13" i="46"/>
  <c r="G12" i="46"/>
  <c r="G11" i="46"/>
  <c r="G10" i="46"/>
  <c r="M9" i="46"/>
  <c r="G9" i="46"/>
  <c r="M8" i="46"/>
  <c r="H8" i="46"/>
  <c r="G8" i="46"/>
  <c r="M7" i="46"/>
  <c r="H7" i="46"/>
  <c r="G7" i="46"/>
  <c r="M6" i="46"/>
  <c r="H6" i="46"/>
  <c r="G6" i="46"/>
  <c r="M5" i="46"/>
  <c r="H5" i="46"/>
  <c r="G5" i="46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H42" i="44"/>
  <c r="G42" i="44"/>
  <c r="M41" i="44"/>
  <c r="H41" i="44"/>
  <c r="G41" i="44"/>
  <c r="M40" i="44"/>
  <c r="H40" i="44"/>
  <c r="G40" i="44"/>
  <c r="M39" i="44"/>
  <c r="H39" i="44"/>
  <c r="G39" i="44"/>
  <c r="H38" i="44"/>
  <c r="G38" i="44"/>
  <c r="M37" i="44"/>
  <c r="H37" i="44"/>
  <c r="G37" i="44"/>
  <c r="M36" i="44"/>
  <c r="H36" i="44"/>
  <c r="G36" i="44"/>
  <c r="M35" i="44"/>
  <c r="H35" i="44"/>
  <c r="G35" i="44"/>
  <c r="M34" i="44"/>
  <c r="H34" i="44"/>
  <c r="G34" i="44"/>
  <c r="M33" i="44"/>
  <c r="H33" i="44"/>
  <c r="G33" i="44"/>
  <c r="M32" i="44"/>
  <c r="H32" i="44"/>
  <c r="G32" i="44"/>
  <c r="M31" i="44"/>
  <c r="H31" i="44"/>
  <c r="G31" i="44"/>
  <c r="M30" i="44"/>
  <c r="H30" i="44"/>
  <c r="G30" i="44"/>
  <c r="M29" i="44"/>
  <c r="H29" i="44"/>
  <c r="G29" i="44"/>
  <c r="M28" i="44"/>
  <c r="H28" i="44"/>
  <c r="G28" i="44"/>
  <c r="M27" i="44"/>
  <c r="H27" i="44"/>
  <c r="G27" i="44"/>
  <c r="M26" i="44"/>
  <c r="H26" i="44"/>
  <c r="G26" i="44"/>
  <c r="M25" i="44"/>
  <c r="H25" i="44"/>
  <c r="G25" i="44"/>
  <c r="M24" i="44"/>
  <c r="H24" i="44"/>
  <c r="G24" i="44"/>
  <c r="M23" i="44"/>
  <c r="H23" i="44"/>
  <c r="G23" i="44"/>
  <c r="M22" i="44"/>
  <c r="H22" i="44"/>
  <c r="G22" i="44"/>
  <c r="M21" i="44"/>
  <c r="H21" i="44"/>
  <c r="G21" i="44"/>
  <c r="M20" i="44"/>
  <c r="H20" i="44"/>
  <c r="G20" i="44"/>
  <c r="M19" i="44"/>
  <c r="H19" i="44"/>
  <c r="G19" i="44"/>
  <c r="M18" i="44"/>
  <c r="H18" i="44"/>
  <c r="G18" i="44"/>
  <c r="H17" i="44"/>
  <c r="G17" i="44"/>
  <c r="M16" i="44"/>
  <c r="H16" i="44"/>
  <c r="G16" i="44"/>
  <c r="M15" i="44"/>
  <c r="H15" i="44"/>
  <c r="G15" i="44"/>
  <c r="M14" i="44"/>
  <c r="H14" i="44"/>
  <c r="G14" i="44"/>
  <c r="M13" i="44"/>
  <c r="H13" i="44"/>
  <c r="G13" i="44"/>
  <c r="M12" i="44"/>
  <c r="H12" i="44"/>
  <c r="G12" i="44"/>
  <c r="M11" i="44"/>
  <c r="H11" i="44"/>
  <c r="G11" i="44"/>
  <c r="M10" i="44"/>
  <c r="H10" i="44"/>
  <c r="G10" i="44"/>
  <c r="M9" i="44"/>
  <c r="H9" i="44"/>
  <c r="G9" i="44"/>
  <c r="M8" i="44"/>
  <c r="H8" i="44"/>
  <c r="G8" i="44"/>
  <c r="M7" i="44"/>
  <c r="H7" i="44"/>
  <c r="G7" i="44"/>
  <c r="M6" i="44"/>
  <c r="H6" i="44"/>
  <c r="G6" i="44"/>
  <c r="M5" i="44"/>
  <c r="H5" i="44"/>
  <c r="G5" i="44"/>
  <c r="N4" i="44"/>
  <c r="I48" i="42"/>
  <c r="I47" i="42"/>
  <c r="I46" i="42"/>
  <c r="I45" i="42"/>
  <c r="J48" i="42"/>
  <c r="K48" i="42"/>
  <c r="K47" i="42"/>
  <c r="J47" i="42"/>
  <c r="K46" i="42"/>
  <c r="J46" i="42"/>
  <c r="K45" i="42"/>
  <c r="J45" i="42"/>
  <c r="N9" i="42"/>
  <c r="N10" i="42" s="1"/>
  <c r="I60" i="42"/>
  <c r="I59" i="42"/>
  <c r="I58" i="42"/>
  <c r="I57" i="42"/>
  <c r="I56" i="42"/>
  <c r="I55" i="42"/>
  <c r="I54" i="42"/>
  <c r="I53" i="42"/>
  <c r="I52" i="42"/>
  <c r="I51" i="42"/>
  <c r="I50" i="42"/>
  <c r="I49" i="42"/>
  <c r="K44" i="42"/>
  <c r="J44" i="42"/>
  <c r="I43" i="42"/>
  <c r="K43" i="42"/>
  <c r="J43" i="42"/>
  <c r="I42" i="42"/>
  <c r="K42" i="42"/>
  <c r="J42" i="42"/>
  <c r="I41" i="42"/>
  <c r="K41" i="42"/>
  <c r="J41" i="42"/>
  <c r="I40" i="42"/>
  <c r="K40" i="42"/>
  <c r="J40" i="42"/>
  <c r="I39" i="42"/>
  <c r="K39" i="42"/>
  <c r="J39" i="42"/>
  <c r="I38" i="42"/>
  <c r="K38" i="42"/>
  <c r="J38" i="42"/>
  <c r="I37" i="42"/>
  <c r="K37" i="42"/>
  <c r="J37" i="42"/>
  <c r="I36" i="42"/>
  <c r="K36" i="42"/>
  <c r="J36" i="42"/>
  <c r="I35" i="42"/>
  <c r="K35" i="42"/>
  <c r="J35" i="42"/>
  <c r="I34" i="42"/>
  <c r="K34" i="42"/>
  <c r="J34" i="42"/>
  <c r="I33" i="42"/>
  <c r="K33" i="42"/>
  <c r="J33" i="42"/>
  <c r="I32" i="42"/>
  <c r="K32" i="42"/>
  <c r="J32" i="42"/>
  <c r="I31" i="42"/>
  <c r="K31" i="42"/>
  <c r="J31" i="42"/>
  <c r="I30" i="42"/>
  <c r="K30" i="42"/>
  <c r="J30" i="42"/>
  <c r="I29" i="42"/>
  <c r="K29" i="42"/>
  <c r="J29" i="42"/>
  <c r="I28" i="42"/>
  <c r="K28" i="42"/>
  <c r="J28" i="42"/>
  <c r="I27" i="42"/>
  <c r="K27" i="42"/>
  <c r="J27" i="42"/>
  <c r="I26" i="42"/>
  <c r="K26" i="42"/>
  <c r="J26" i="42"/>
  <c r="I25" i="42"/>
  <c r="K25" i="42"/>
  <c r="J25" i="42"/>
  <c r="I24" i="42"/>
  <c r="K24" i="42"/>
  <c r="J24" i="42"/>
  <c r="K23" i="42"/>
  <c r="J23" i="42"/>
  <c r="I22" i="42"/>
  <c r="K22" i="42"/>
  <c r="J22" i="42"/>
  <c r="I21" i="42"/>
  <c r="K21" i="42"/>
  <c r="J21" i="42"/>
  <c r="I20" i="42"/>
  <c r="K20" i="42"/>
  <c r="J20" i="42"/>
  <c r="I19" i="42"/>
  <c r="K19" i="42"/>
  <c r="J19" i="42"/>
  <c r="I18" i="42"/>
  <c r="K18" i="42"/>
  <c r="J18" i="42"/>
  <c r="I17" i="42"/>
  <c r="K17" i="42"/>
  <c r="J17" i="42"/>
  <c r="I16" i="42"/>
  <c r="K16" i="42"/>
  <c r="J16" i="42"/>
  <c r="I15" i="42"/>
  <c r="K15" i="42"/>
  <c r="J15" i="42"/>
  <c r="I14" i="42"/>
  <c r="K14" i="42"/>
  <c r="J14" i="42"/>
  <c r="I13" i="42"/>
  <c r="K13" i="42"/>
  <c r="J13" i="42"/>
  <c r="I12" i="42"/>
  <c r="K12" i="42"/>
  <c r="J12" i="42"/>
  <c r="K11" i="42"/>
  <c r="J11" i="42"/>
  <c r="O3" i="44" l="1"/>
  <c r="O2" i="44" s="1"/>
  <c r="N2" i="44"/>
  <c r="N8" i="42"/>
  <c r="O9" i="42"/>
  <c r="O4" i="44" l="1"/>
  <c r="P3" i="44"/>
  <c r="P2" i="44" s="1"/>
  <c r="P9" i="42"/>
  <c r="O8" i="42"/>
  <c r="O10" i="42"/>
  <c r="Q3" i="44" l="1"/>
  <c r="Q2" i="44" s="1"/>
  <c r="P4" i="44"/>
  <c r="Q9" i="42"/>
  <c r="P8" i="42"/>
  <c r="P10" i="42"/>
  <c r="R3" i="44" l="1"/>
  <c r="R2" i="44" s="1"/>
  <c r="Q4" i="44"/>
  <c r="Q10" i="42"/>
  <c r="R9" i="42"/>
  <c r="Q8" i="42"/>
  <c r="S3" i="44" l="1"/>
  <c r="S2" i="44" s="1"/>
  <c r="R4" i="44"/>
  <c r="R10" i="42"/>
  <c r="S9" i="42"/>
  <c r="R8" i="42"/>
  <c r="T3" i="44" l="1"/>
  <c r="T2" i="44" s="1"/>
  <c r="S4" i="44"/>
  <c r="T9" i="42"/>
  <c r="S8" i="42"/>
  <c r="S10" i="42"/>
  <c r="U3" i="44" l="1"/>
  <c r="U2" i="44" s="1"/>
  <c r="T4" i="44"/>
  <c r="U9" i="42"/>
  <c r="T8" i="42"/>
  <c r="T10" i="42"/>
  <c r="V3" i="44" l="1"/>
  <c r="V2" i="44" s="1"/>
  <c r="U4" i="44"/>
  <c r="U10" i="42"/>
  <c r="V9" i="42"/>
  <c r="U8" i="42"/>
  <c r="W3" i="44" l="1"/>
  <c r="W2" i="44" s="1"/>
  <c r="V4" i="44"/>
  <c r="V10" i="42"/>
  <c r="W9" i="42"/>
  <c r="V8" i="42"/>
  <c r="X3" i="44" l="1"/>
  <c r="X2" i="44" s="1"/>
  <c r="W4" i="44"/>
  <c r="X9" i="42"/>
  <c r="W8" i="42"/>
  <c r="W10" i="42"/>
  <c r="Y3" i="44" l="1"/>
  <c r="Y2" i="44" s="1"/>
  <c r="X4" i="44"/>
  <c r="Y9" i="42"/>
  <c r="X8" i="42"/>
  <c r="X10" i="42"/>
  <c r="Z3" i="44" l="1"/>
  <c r="Z2" i="44" s="1"/>
  <c r="Y4" i="44"/>
  <c r="Y10" i="42"/>
  <c r="Z9" i="42"/>
  <c r="Y8" i="42"/>
  <c r="AA3" i="44" l="1"/>
  <c r="AA2" i="44" s="1"/>
  <c r="Z4" i="44"/>
  <c r="Z10" i="42"/>
  <c r="AA9" i="42"/>
  <c r="Z8" i="42"/>
  <c r="AB3" i="44" l="1"/>
  <c r="AB2" i="44" s="1"/>
  <c r="AA4" i="44"/>
  <c r="AB9" i="42"/>
  <c r="AA8" i="42"/>
  <c r="AA10" i="42"/>
  <c r="AC3" i="44" l="1"/>
  <c r="AC2" i="44" s="1"/>
  <c r="AB4" i="44"/>
  <c r="AC9" i="42"/>
  <c r="AB8" i="42"/>
  <c r="AB10" i="42"/>
  <c r="AD3" i="44" l="1"/>
  <c r="AD2" i="44" s="1"/>
  <c r="AC4" i="44"/>
  <c r="AC10" i="42"/>
  <c r="AD9" i="42"/>
  <c r="AC8" i="42"/>
  <c r="AE3" i="44" l="1"/>
  <c r="AE2" i="44" s="1"/>
  <c r="AD4" i="44"/>
  <c r="AD10" i="42"/>
  <c r="AE9" i="42"/>
  <c r="AD8" i="42"/>
  <c r="AF3" i="44" l="1"/>
  <c r="AF2" i="44" s="1"/>
  <c r="AE4" i="44"/>
  <c r="AF9" i="42"/>
  <c r="AE8" i="42"/>
  <c r="AE10" i="42"/>
  <c r="AG3" i="44" l="1"/>
  <c r="AG2" i="44" s="1"/>
  <c r="AF4" i="44"/>
  <c r="AG9" i="42"/>
  <c r="AF8" i="42"/>
  <c r="AF10" i="42"/>
  <c r="AH3" i="44" l="1"/>
  <c r="AH2" i="44" s="1"/>
  <c r="AG4" i="44"/>
  <c r="AG10" i="42"/>
  <c r="AH9" i="42"/>
  <c r="AG8" i="42"/>
  <c r="AI3" i="44" l="1"/>
  <c r="AI2" i="44" s="1"/>
  <c r="AH4" i="44"/>
  <c r="AH10" i="42"/>
  <c r="AI9" i="42"/>
  <c r="AH8" i="42"/>
  <c r="AJ3" i="44" l="1"/>
  <c r="AJ2" i="44" s="1"/>
  <c r="AI4" i="44"/>
  <c r="AJ9" i="42"/>
  <c r="AI8" i="42"/>
  <c r="AI10" i="42"/>
  <c r="AK3" i="44" l="1"/>
  <c r="AK2" i="44" s="1"/>
  <c r="AJ4" i="44"/>
  <c r="AK9" i="42"/>
  <c r="AJ8" i="42"/>
  <c r="AJ10" i="42"/>
  <c r="AL3" i="44" l="1"/>
  <c r="AL2" i="44" s="1"/>
  <c r="AK4" i="44"/>
  <c r="AK10" i="42"/>
  <c r="AL9" i="42"/>
  <c r="AK8" i="42"/>
  <c r="AM3" i="44" l="1"/>
  <c r="AM2" i="44" s="1"/>
  <c r="AL4" i="44"/>
  <c r="AL10" i="42"/>
  <c r="AM9" i="42"/>
  <c r="AL8" i="42"/>
  <c r="AN3" i="44" l="1"/>
  <c r="AN2" i="44" s="1"/>
  <c r="AM4" i="44"/>
  <c r="AN9" i="42"/>
  <c r="AM8" i="42"/>
  <c r="AM10" i="42"/>
  <c r="AO3" i="44" l="1"/>
  <c r="AO2" i="44" s="1"/>
  <c r="AN4" i="44"/>
  <c r="AO9" i="42"/>
  <c r="AN8" i="42"/>
  <c r="AN10" i="42"/>
  <c r="AP3" i="44" l="1"/>
  <c r="AP2" i="44" s="1"/>
  <c r="AO4" i="44"/>
  <c r="AO10" i="42"/>
  <c r="AP9" i="42"/>
  <c r="AO8" i="42"/>
  <c r="AQ3" i="44" l="1"/>
  <c r="AQ2" i="44" s="1"/>
  <c r="AP4" i="44"/>
  <c r="AP10" i="42"/>
  <c r="AQ9" i="42"/>
  <c r="AP8" i="42"/>
  <c r="AR3" i="44" l="1"/>
  <c r="AR2" i="44" s="1"/>
  <c r="AQ4" i="44"/>
  <c r="AR9" i="42"/>
  <c r="AQ8" i="42"/>
  <c r="AQ10" i="42"/>
  <c r="AS3" i="44" l="1"/>
  <c r="AS2" i="44" s="1"/>
  <c r="AR4" i="44"/>
  <c r="AS9" i="42"/>
  <c r="AR8" i="42"/>
  <c r="AR10" i="42"/>
  <c r="AT3" i="44" l="1"/>
  <c r="AT2" i="44" s="1"/>
  <c r="AS4" i="44"/>
  <c r="AS10" i="42"/>
  <c r="AT9" i="42"/>
  <c r="AS8" i="42"/>
  <c r="AU3" i="44" l="1"/>
  <c r="AU2" i="44" s="1"/>
  <c r="AT4" i="44"/>
  <c r="AT10" i="42"/>
  <c r="AU9" i="42"/>
  <c r="AT8" i="42"/>
  <c r="AV3" i="44" l="1"/>
  <c r="AV2" i="44" s="1"/>
  <c r="AU4" i="44"/>
  <c r="AV9" i="42"/>
  <c r="AU8" i="42"/>
  <c r="AU10" i="42"/>
  <c r="AW3" i="44" l="1"/>
  <c r="AW2" i="44" s="1"/>
  <c r="AV4" i="44"/>
  <c r="AW9" i="42"/>
  <c r="AV8" i="42"/>
  <c r="AV10" i="42"/>
  <c r="AX3" i="44" l="1"/>
  <c r="AX2" i="44" s="1"/>
  <c r="AW4" i="44"/>
  <c r="AW10" i="42"/>
  <c r="AX9" i="42"/>
  <c r="AW8" i="42"/>
  <c r="AY3" i="44" l="1"/>
  <c r="AY2" i="44" s="1"/>
  <c r="AX4" i="44"/>
  <c r="AX10" i="42"/>
  <c r="AY9" i="42"/>
  <c r="AX8" i="42"/>
  <c r="AZ3" i="44" l="1"/>
  <c r="AZ2" i="44" s="1"/>
  <c r="AY4" i="44"/>
  <c r="AZ9" i="42"/>
  <c r="AY8" i="42"/>
  <c r="AY10" i="42"/>
  <c r="BA3" i="44" l="1"/>
  <c r="BA2" i="44" s="1"/>
  <c r="AZ4" i="44"/>
  <c r="BA9" i="42"/>
  <c r="AZ8" i="42"/>
  <c r="AZ10" i="42"/>
  <c r="BB3" i="44" l="1"/>
  <c r="BB2" i="44" s="1"/>
  <c r="BA4" i="44"/>
  <c r="BA10" i="42"/>
  <c r="BB9" i="42"/>
  <c r="BA8" i="42"/>
  <c r="BC3" i="44" l="1"/>
  <c r="BC2" i="44" s="1"/>
  <c r="BB4" i="44"/>
  <c r="BB10" i="42"/>
  <c r="BC9" i="42"/>
  <c r="BB8" i="42"/>
  <c r="BD3" i="44" l="1"/>
  <c r="BD2" i="44" s="1"/>
  <c r="BC4" i="44"/>
  <c r="BD9" i="42"/>
  <c r="BC8" i="42"/>
  <c r="BC10" i="42"/>
  <c r="BE3" i="44" l="1"/>
  <c r="BE2" i="44" s="1"/>
  <c r="BD4" i="44"/>
  <c r="BE9" i="42"/>
  <c r="BD8" i="42"/>
  <c r="BD10" i="42"/>
  <c r="BF3" i="44" l="1"/>
  <c r="BF2" i="44" s="1"/>
  <c r="BE4" i="44"/>
  <c r="BE10" i="42"/>
  <c r="BF9" i="42"/>
  <c r="BE8" i="42"/>
  <c r="BG3" i="44" l="1"/>
  <c r="BG2" i="44" s="1"/>
  <c r="BF4" i="44"/>
  <c r="BF10" i="42"/>
  <c r="BG9" i="42"/>
  <c r="BF8" i="42"/>
  <c r="BH3" i="44" l="1"/>
  <c r="BH2" i="44" s="1"/>
  <c r="BG4" i="44"/>
  <c r="BH9" i="42"/>
  <c r="BG8" i="42"/>
  <c r="BG10" i="42"/>
  <c r="BI3" i="44" l="1"/>
  <c r="BI2" i="44" s="1"/>
  <c r="BH4" i="44"/>
  <c r="BI9" i="42"/>
  <c r="BH8" i="42"/>
  <c r="BH10" i="42"/>
  <c r="BJ3" i="44" l="1"/>
  <c r="BJ2" i="44" s="1"/>
  <c r="BI4" i="44"/>
  <c r="BI10" i="42"/>
  <c r="BJ9" i="42"/>
  <c r="BI8" i="42"/>
  <c r="BK3" i="44" l="1"/>
  <c r="BK2" i="44" s="1"/>
  <c r="BJ4" i="44"/>
  <c r="BJ10" i="42"/>
  <c r="BK9" i="42"/>
  <c r="BJ8" i="42"/>
  <c r="BL3" i="44" l="1"/>
  <c r="BL2" i="44" s="1"/>
  <c r="BK4" i="44"/>
  <c r="BL9" i="42"/>
  <c r="BK8" i="42"/>
  <c r="BK10" i="42"/>
  <c r="BM3" i="44" l="1"/>
  <c r="BM2" i="44" s="1"/>
  <c r="BL4" i="44"/>
  <c r="BM9" i="42"/>
  <c r="BL8" i="42"/>
  <c r="BL10" i="42"/>
  <c r="BN3" i="44" l="1"/>
  <c r="BN2" i="44" s="1"/>
  <c r="BM4" i="44"/>
  <c r="BM10" i="42"/>
  <c r="BN9" i="42"/>
  <c r="BM8" i="42"/>
  <c r="BO3" i="44" l="1"/>
  <c r="BO2" i="44" s="1"/>
  <c r="BN4" i="44"/>
  <c r="BN10" i="42"/>
  <c r="BO9" i="42"/>
  <c r="BN8" i="42"/>
  <c r="BP3" i="44" l="1"/>
  <c r="BP2" i="44" s="1"/>
  <c r="BO4" i="44"/>
  <c r="BP9" i="42"/>
  <c r="BO8" i="42"/>
  <c r="BO10" i="42"/>
  <c r="BQ3" i="44" l="1"/>
  <c r="BQ2" i="44" s="1"/>
  <c r="BP4" i="44"/>
  <c r="BQ9" i="42"/>
  <c r="BP8" i="42"/>
  <c r="BP10" i="42"/>
  <c r="BR3" i="44" l="1"/>
  <c r="BR2" i="44" s="1"/>
  <c r="BQ4" i="44"/>
  <c r="BQ10" i="42"/>
  <c r="BR9" i="42"/>
  <c r="BQ8" i="42"/>
  <c r="BS3" i="44" l="1"/>
  <c r="BS2" i="44" s="1"/>
  <c r="BR4" i="44"/>
  <c r="BR10" i="42"/>
  <c r="BS9" i="42"/>
  <c r="BR8" i="42"/>
  <c r="BT3" i="44" l="1"/>
  <c r="BT2" i="44" s="1"/>
  <c r="BS4" i="44"/>
  <c r="BT9" i="42"/>
  <c r="BS8" i="42"/>
  <c r="BS10" i="42"/>
  <c r="BU3" i="44" l="1"/>
  <c r="BU2" i="44" s="1"/>
  <c r="BT4" i="44"/>
  <c r="BU9" i="42"/>
  <c r="BT8" i="42"/>
  <c r="BT10" i="42"/>
  <c r="BV3" i="44" l="1"/>
  <c r="BV2" i="44" s="1"/>
  <c r="BU4" i="44"/>
  <c r="BU10" i="42"/>
  <c r="BV9" i="42"/>
  <c r="BU8" i="42"/>
  <c r="BW3" i="44" l="1"/>
  <c r="BW2" i="44" s="1"/>
  <c r="BV4" i="44"/>
  <c r="BV10" i="42"/>
  <c r="BW9" i="42"/>
  <c r="BV8" i="42"/>
  <c r="BX3" i="44" l="1"/>
  <c r="BX2" i="44" s="1"/>
  <c r="BW4" i="44"/>
  <c r="BX9" i="42"/>
  <c r="BW8" i="42"/>
  <c r="BW10" i="42"/>
  <c r="BY3" i="44" l="1"/>
  <c r="BY2" i="44" s="1"/>
  <c r="BX4" i="44"/>
  <c r="BY9" i="42"/>
  <c r="BX8" i="42"/>
  <c r="BX10" i="42"/>
  <c r="BZ3" i="44" l="1"/>
  <c r="BZ2" i="44" s="1"/>
  <c r="BY4" i="44"/>
  <c r="BY10" i="42"/>
  <c r="BZ9" i="42"/>
  <c r="BY8" i="42"/>
  <c r="CA3" i="44" l="1"/>
  <c r="CA2" i="44" s="1"/>
  <c r="BZ4" i="44"/>
  <c r="BZ10" i="42"/>
  <c r="CA9" i="42"/>
  <c r="BZ8" i="42"/>
  <c r="CB3" i="44" l="1"/>
  <c r="CB2" i="44" s="1"/>
  <c r="CA4" i="44"/>
  <c r="CB9" i="42"/>
  <c r="CA8" i="42"/>
  <c r="CA10" i="42"/>
  <c r="CC3" i="44" l="1"/>
  <c r="CC2" i="44" s="1"/>
  <c r="CB4" i="44"/>
  <c r="CC9" i="42"/>
  <c r="CB8" i="42"/>
  <c r="CB10" i="42"/>
  <c r="CD3" i="44" l="1"/>
  <c r="CD2" i="44" s="1"/>
  <c r="CC4" i="44"/>
  <c r="CC10" i="42"/>
  <c r="CD9" i="42"/>
  <c r="CC8" i="42"/>
  <c r="CE3" i="44" l="1"/>
  <c r="CE2" i="44" s="1"/>
  <c r="CD4" i="44"/>
  <c r="CD10" i="42"/>
  <c r="CE9" i="42"/>
  <c r="CD8" i="42"/>
  <c r="CF3" i="44" l="1"/>
  <c r="CF2" i="44" s="1"/>
  <c r="CE4" i="44"/>
  <c r="CF9" i="42"/>
  <c r="CE8" i="42"/>
  <c r="CE10" i="42"/>
  <c r="CG3" i="44" l="1"/>
  <c r="CG2" i="44" s="1"/>
  <c r="CF4" i="44"/>
  <c r="CG9" i="42"/>
  <c r="CF8" i="42"/>
  <c r="CF10" i="42"/>
  <c r="CH3" i="44" l="1"/>
  <c r="CH2" i="44" s="1"/>
  <c r="CG4" i="44"/>
  <c r="CG10" i="42"/>
  <c r="CH9" i="42"/>
  <c r="CG8" i="42"/>
  <c r="CI3" i="44" l="1"/>
  <c r="CI2" i="44" s="1"/>
  <c r="CH4" i="44"/>
  <c r="CH10" i="42"/>
  <c r="CI9" i="42"/>
  <c r="CH8" i="42"/>
  <c r="CJ3" i="44" l="1"/>
  <c r="CJ2" i="44" s="1"/>
  <c r="CI4" i="44"/>
  <c r="CJ9" i="42"/>
  <c r="CI8" i="42"/>
  <c r="CI10" i="42"/>
  <c r="CK3" i="44" l="1"/>
  <c r="CK2" i="44" s="1"/>
  <c r="CJ4" i="44"/>
  <c r="CK9" i="42"/>
  <c r="CJ8" i="42"/>
  <c r="CJ10" i="42"/>
  <c r="CL3" i="44" l="1"/>
  <c r="CL2" i="44" s="1"/>
  <c r="CK4" i="44"/>
  <c r="CK10" i="42"/>
  <c r="CL9" i="42"/>
  <c r="CK8" i="42"/>
  <c r="CM3" i="44" l="1"/>
  <c r="CM2" i="44" s="1"/>
  <c r="CL4" i="44"/>
  <c r="CL10" i="42"/>
  <c r="CM9" i="42"/>
  <c r="CL8" i="42"/>
  <c r="CN3" i="44" l="1"/>
  <c r="CN2" i="44" s="1"/>
  <c r="CM4" i="44"/>
  <c r="CN9" i="42"/>
  <c r="CM8" i="42"/>
  <c r="CM10" i="42"/>
  <c r="CO3" i="44" l="1"/>
  <c r="CO2" i="44" s="1"/>
  <c r="CN4" i="44"/>
  <c r="CO9" i="42"/>
  <c r="CN8" i="42"/>
  <c r="CN10" i="42"/>
  <c r="CP3" i="44" l="1"/>
  <c r="CP2" i="44" s="1"/>
  <c r="CO4" i="44"/>
  <c r="CO10" i="42"/>
  <c r="CP9" i="42"/>
  <c r="CO8" i="42"/>
  <c r="CQ3" i="44" l="1"/>
  <c r="CQ2" i="44" s="1"/>
  <c r="CP4" i="44"/>
  <c r="CP10" i="42"/>
  <c r="CQ9" i="42"/>
  <c r="CP8" i="42"/>
  <c r="CR3" i="44" l="1"/>
  <c r="CR2" i="44" s="1"/>
  <c r="CQ4" i="44"/>
  <c r="CR9" i="42"/>
  <c r="CQ8" i="42"/>
  <c r="CQ10" i="42"/>
  <c r="CS3" i="44" l="1"/>
  <c r="CS2" i="44" s="1"/>
  <c r="CR4" i="44"/>
  <c r="CS9" i="42"/>
  <c r="CR8" i="42"/>
  <c r="CR10" i="42"/>
  <c r="CT3" i="44" l="1"/>
  <c r="CT2" i="44" s="1"/>
  <c r="CS4" i="44"/>
  <c r="CS10" i="42"/>
  <c r="CT9" i="42"/>
  <c r="CS8" i="42"/>
  <c r="CU3" i="44" l="1"/>
  <c r="CU2" i="44" s="1"/>
  <c r="CT4" i="44"/>
  <c r="CT10" i="42"/>
  <c r="CU9" i="42"/>
  <c r="CT8" i="42"/>
  <c r="CV3" i="44" l="1"/>
  <c r="CV2" i="44" s="1"/>
  <c r="CU4" i="44"/>
  <c r="CV9" i="42"/>
  <c r="CU8" i="42"/>
  <c r="CU10" i="42"/>
  <c r="CW3" i="44" l="1"/>
  <c r="CW2" i="44" s="1"/>
  <c r="CV4" i="44"/>
  <c r="CW9" i="42"/>
  <c r="CV8" i="42"/>
  <c r="CV10" i="42"/>
  <c r="CX3" i="44" l="1"/>
  <c r="CX2" i="44" s="1"/>
  <c r="CW4" i="44"/>
  <c r="CW10" i="42"/>
  <c r="CX9" i="42"/>
  <c r="CW8" i="42"/>
  <c r="CY3" i="44" l="1"/>
  <c r="CY2" i="44" s="1"/>
  <c r="CX4" i="44"/>
  <c r="CX10" i="42"/>
  <c r="CY9" i="42"/>
  <c r="CX8" i="42"/>
  <c r="CZ3" i="44" l="1"/>
  <c r="CZ2" i="44" s="1"/>
  <c r="CY4" i="44"/>
  <c r="CZ9" i="42"/>
  <c r="CY8" i="42"/>
  <c r="CY10" i="42"/>
  <c r="CZ4" i="44" l="1"/>
  <c r="CZ8" i="42"/>
  <c r="CZ10" i="42"/>
</calcChain>
</file>

<file path=xl/sharedStrings.xml><?xml version="1.0" encoding="utf-8"?>
<sst xmlns="http://schemas.openxmlformats.org/spreadsheetml/2006/main" count="361" uniqueCount="121">
  <si>
    <t>作業項目</t>
    <rPh sb="0" eb="2">
      <t>サギョウ</t>
    </rPh>
    <rPh sb="2" eb="4">
      <t>コウモク</t>
    </rPh>
    <phoneticPr fontId="4"/>
  </si>
  <si>
    <t>大分類</t>
    <rPh sb="0" eb="3">
      <t>ダイブンルイ</t>
    </rPh>
    <phoneticPr fontId="4"/>
  </si>
  <si>
    <t>中分類</t>
    <rPh sb="0" eb="3">
      <t>チュウブンルイ</t>
    </rPh>
    <phoneticPr fontId="4"/>
  </si>
  <si>
    <t>実績</t>
    <rPh sb="0" eb="2">
      <t>ジッセキ</t>
    </rPh>
    <phoneticPr fontId="4"/>
  </si>
  <si>
    <t>期間</t>
    <rPh sb="0" eb="2">
      <t>キカン</t>
    </rPh>
    <phoneticPr fontId="33"/>
  </si>
  <si>
    <t>開始</t>
    <rPh sb="0" eb="2">
      <t>カイシ</t>
    </rPh>
    <phoneticPr fontId="33"/>
  </si>
  <si>
    <t>終了</t>
    <rPh sb="0" eb="2">
      <t>シュウリョウ</t>
    </rPh>
    <phoneticPr fontId="33"/>
  </si>
  <si>
    <t>予定</t>
    <rPh sb="0" eb="2">
      <t>ヨテイ</t>
    </rPh>
    <phoneticPr fontId="33"/>
  </si>
  <si>
    <t>進捗率</t>
    <rPh sb="0" eb="2">
      <t>シンチョク</t>
    </rPh>
    <rPh sb="2" eb="3">
      <t>リツ</t>
    </rPh>
    <phoneticPr fontId="4"/>
  </si>
  <si>
    <t>小分類</t>
    <rPh sb="0" eb="1">
      <t>ショウ</t>
    </rPh>
    <rPh sb="1" eb="3">
      <t>ブンルイ</t>
    </rPh>
    <phoneticPr fontId="4"/>
  </si>
  <si>
    <t>№</t>
    <phoneticPr fontId="4"/>
  </si>
  <si>
    <t>予定</t>
    <rPh sb="0" eb="2">
      <t>ヨテイ</t>
    </rPh>
    <phoneticPr fontId="4"/>
  </si>
  <si>
    <t>担当</t>
  </si>
  <si>
    <t>タスク１</t>
    <phoneticPr fontId="4"/>
  </si>
  <si>
    <t>A</t>
    <phoneticPr fontId="4"/>
  </si>
  <si>
    <t>タスク３</t>
  </si>
  <si>
    <t>タスク４</t>
  </si>
  <si>
    <t>タスク５</t>
  </si>
  <si>
    <t>タスク６</t>
  </si>
  <si>
    <t>タスク７</t>
  </si>
  <si>
    <t>タスク８</t>
  </si>
  <si>
    <t>タスク９</t>
  </si>
  <si>
    <t>タスク１０</t>
  </si>
  <si>
    <t>タスク１１</t>
  </si>
  <si>
    <t>タスク１２</t>
  </si>
  <si>
    <t>タスク１３</t>
  </si>
  <si>
    <t>タスク１４</t>
  </si>
  <si>
    <t>タスク１５</t>
  </si>
  <si>
    <t>タスク１６</t>
  </si>
  <si>
    <t>タスク１７</t>
  </si>
  <si>
    <t>タスク１８</t>
  </si>
  <si>
    <t>タスク１９</t>
  </si>
  <si>
    <t>タスク２０</t>
  </si>
  <si>
    <t>タスク２１</t>
  </si>
  <si>
    <t>タスク２２</t>
  </si>
  <si>
    <t>タスク２３</t>
  </si>
  <si>
    <t>タスク２４</t>
  </si>
  <si>
    <t>タスク２５</t>
  </si>
  <si>
    <t>タスク２６</t>
  </si>
  <si>
    <t>タスク２７</t>
  </si>
  <si>
    <t>タスク２８</t>
  </si>
  <si>
    <t>タスク２９</t>
  </si>
  <si>
    <t>タスク３０</t>
  </si>
  <si>
    <t>タスク３１</t>
  </si>
  <si>
    <t>タスク３２</t>
  </si>
  <si>
    <t>タスク３３</t>
  </si>
  <si>
    <t>タスク３４</t>
  </si>
  <si>
    <t>タスク３５</t>
  </si>
  <si>
    <t>タスク３６</t>
  </si>
  <si>
    <t>タスク３７</t>
  </si>
  <si>
    <t>タスク３８</t>
  </si>
  <si>
    <t>タスク３９</t>
  </si>
  <si>
    <t>タスク４０</t>
  </si>
  <si>
    <t>タスク４１</t>
  </si>
  <si>
    <t>タスク４２</t>
  </si>
  <si>
    <t>タスク４３</t>
  </si>
  <si>
    <t>タスク４４</t>
  </si>
  <si>
    <t>タスク４５</t>
  </si>
  <si>
    <t>タスク４６</t>
  </si>
  <si>
    <t>タスク４７</t>
  </si>
  <si>
    <t>タスク４８</t>
  </si>
  <si>
    <t>タスク４９</t>
  </si>
  <si>
    <t>タスク５０</t>
  </si>
  <si>
    <t>出来高</t>
    <rPh sb="0" eb="3">
      <t>デキダカ</t>
    </rPh>
    <phoneticPr fontId="4"/>
  </si>
  <si>
    <t>№</t>
    <phoneticPr fontId="4"/>
  </si>
  <si>
    <t>サンプル</t>
    <phoneticPr fontId="4"/>
  </si>
  <si>
    <t>タスク１</t>
    <phoneticPr fontId="4"/>
  </si>
  <si>
    <t>タスク2</t>
    <phoneticPr fontId="4"/>
  </si>
  <si>
    <t>列表示→</t>
    <rPh sb="0" eb="1">
      <t>レツ</t>
    </rPh>
    <rPh sb="1" eb="3">
      <t>ヒョウジ</t>
    </rPh>
    <phoneticPr fontId="4"/>
  </si>
  <si>
    <t>週次の考え方</t>
    <rPh sb="0" eb="1">
      <t>シュウ</t>
    </rPh>
    <rPh sb="1" eb="2">
      <t>ジ</t>
    </rPh>
    <rPh sb="3" eb="4">
      <t>カンガ</t>
    </rPh>
    <rPh sb="5" eb="6">
      <t>カタ</t>
    </rPh>
    <phoneticPr fontId="4"/>
  </si>
  <si>
    <t>7日</t>
    <rPh sb="1" eb="2">
      <t>ヒ</t>
    </rPh>
    <phoneticPr fontId="4"/>
  </si>
  <si>
    <t>14日</t>
    <rPh sb="2" eb="3">
      <t>ヒ</t>
    </rPh>
    <phoneticPr fontId="4"/>
  </si>
  <si>
    <t>・・・</t>
    <phoneticPr fontId="4"/>
  </si>
  <si>
    <t>5月</t>
    <rPh sb="1" eb="2">
      <t>ガツ</t>
    </rPh>
    <phoneticPr fontId="4"/>
  </si>
  <si>
    <t>4月</t>
    <rPh sb="1" eb="2">
      <t>ガツ</t>
    </rPh>
    <phoneticPr fontId="4"/>
  </si>
  <si>
    <t>月次の考え方</t>
    <rPh sb="0" eb="1">
      <t>ゲツ</t>
    </rPh>
    <rPh sb="1" eb="2">
      <t>ジ</t>
    </rPh>
    <rPh sb="3" eb="4">
      <t>カンガ</t>
    </rPh>
    <rPh sb="5" eb="6">
      <t>カタ</t>
    </rPh>
    <phoneticPr fontId="4"/>
  </si>
  <si>
    <t>列に表示する日付は、月末日にしてください。</t>
    <rPh sb="0" eb="1">
      <t>レツ</t>
    </rPh>
    <rPh sb="2" eb="4">
      <t>ヒョウジ</t>
    </rPh>
    <rPh sb="6" eb="8">
      <t>ヒヅケ</t>
    </rPh>
    <rPh sb="10" eb="12">
      <t>ゲツマツ</t>
    </rPh>
    <rPh sb="12" eb="13">
      <t>ビ</t>
    </rPh>
    <phoneticPr fontId="4"/>
  </si>
  <si>
    <t>列に表示する日付は、列内の最終日にしてください。</t>
    <rPh sb="0" eb="1">
      <t>レツ</t>
    </rPh>
    <rPh sb="2" eb="4">
      <t>ヒョウジ</t>
    </rPh>
    <rPh sb="6" eb="8">
      <t>ヒヅケ</t>
    </rPh>
    <rPh sb="10" eb="11">
      <t>レツ</t>
    </rPh>
    <rPh sb="11" eb="12">
      <t>ナイ</t>
    </rPh>
    <rPh sb="13" eb="16">
      <t>サイシュウビ</t>
    </rPh>
    <rPh sb="16" eb="17">
      <t>マツジツ</t>
    </rPh>
    <phoneticPr fontId="4"/>
  </si>
  <si>
    <t>休日テーブルを作成する日付範囲を設定してください。</t>
    <rPh sb="0" eb="2">
      <t>キュウジツ</t>
    </rPh>
    <rPh sb="7" eb="9">
      <t>サクセイ</t>
    </rPh>
    <rPh sb="11" eb="13">
      <t>ヒヅケ</t>
    </rPh>
    <rPh sb="13" eb="15">
      <t>ハンイ</t>
    </rPh>
    <rPh sb="16" eb="18">
      <t>セッテイ</t>
    </rPh>
    <phoneticPr fontId="4"/>
  </si>
  <si>
    <t>開始日</t>
    <rPh sb="0" eb="3">
      <t>カイシビ</t>
    </rPh>
    <phoneticPr fontId="4"/>
  </si>
  <si>
    <t>終了日</t>
    <rPh sb="0" eb="3">
      <t>シュウリョウビ</t>
    </rPh>
    <phoneticPr fontId="4"/>
  </si>
  <si>
    <t>元日</t>
  </si>
  <si>
    <t>年末年始</t>
  </si>
  <si>
    <t>成人の日</t>
  </si>
  <si>
    <t>建国記念日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</si>
  <si>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</si>
  <si>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</si>
  <si>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</si>
  <si>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</si>
  <si>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</si>
  <si>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</si>
  <si>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</si>
  <si>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スポーツの日</t>
  </si>
  <si>
    <t>山の日</t>
  </si>
  <si>
    <t>振替休日</t>
  </si>
  <si>
    <t>敬老の日</t>
  </si>
  <si>
    <t>秋分の日</t>
  </si>
  <si>
    <t>文化の日</t>
  </si>
  <si>
    <t>勤労感謝の日</t>
  </si>
  <si>
    <t>「休日テーブル作成」を実行する前に、稲妻線の[参照設定]-[設定する]を実行してください。</t>
    <rPh sb="1" eb="3">
      <t>キュウジツ</t>
    </rPh>
    <rPh sb="7" eb="9">
      <t>サクセイ</t>
    </rPh>
    <rPh sb="11" eb="13">
      <t>ジッコウ</t>
    </rPh>
    <rPh sb="15" eb="16">
      <t>マエ</t>
    </rPh>
    <rPh sb="18" eb="20">
      <t>イナズマ</t>
    </rPh>
    <rPh sb="20" eb="21">
      <t>セン</t>
    </rPh>
    <rPh sb="23" eb="25">
      <t>サンショウ</t>
    </rPh>
    <rPh sb="25" eb="27">
      <t>セッテイ</t>
    </rPh>
    <rPh sb="30" eb="32">
      <t>セッテイ</t>
    </rPh>
    <rPh sb="36" eb="38">
      <t>ジッコウ</t>
    </rPh>
    <phoneticPr fontId="36"/>
  </si>
  <si>
    <t>条件付き書式で使用するためには休日テーブルの範囲に名前を付けて参照させる必要があります。</t>
    <rPh sb="0" eb="2">
      <t>ジョウケン</t>
    </rPh>
    <rPh sb="2" eb="3">
      <t>ツ</t>
    </rPh>
    <rPh sb="4" eb="6">
      <t>ショシキ</t>
    </rPh>
    <rPh sb="7" eb="9">
      <t>シヨウ</t>
    </rPh>
    <rPh sb="15" eb="17">
      <t>キュウジツ</t>
    </rPh>
    <rPh sb="22" eb="24">
      <t>ハンイ</t>
    </rPh>
    <rPh sb="25" eb="27">
      <t>ナマエ</t>
    </rPh>
    <rPh sb="28" eb="29">
      <t>ツ</t>
    </rPh>
    <rPh sb="31" eb="33">
      <t>サンショウ</t>
    </rPh>
    <rPh sb="36" eb="38">
      <t>ヒツヨウ</t>
    </rPh>
    <phoneticPr fontId="4"/>
  </si>
  <si>
    <t>A1:A65535には「HOLIDAYTBL」という名前をつけています。</t>
    <rPh sb="26" eb="28">
      <t>ナマエ</t>
    </rPh>
    <phoneticPr fontId="4"/>
  </si>
  <si>
    <t>VBAプロジェクトにはパスワードを設定していませんので、自由にカスタマイズしてください。</t>
    <rPh sb="17" eb="19">
      <t>セッテイ</t>
    </rPh>
    <rPh sb="28" eb="30">
      <t>ジユウ</t>
    </rPh>
    <phoneticPr fontId="36"/>
  </si>
  <si>
    <t>TASKS</t>
    <phoneticPr fontId="4"/>
  </si>
  <si>
    <t>Scheduled</t>
    <phoneticPr fontId="33"/>
  </si>
  <si>
    <t>Results</t>
    <phoneticPr fontId="4"/>
  </si>
  <si>
    <t>Start</t>
    <phoneticPr fontId="33"/>
  </si>
  <si>
    <t>End</t>
    <phoneticPr fontId="33"/>
  </si>
  <si>
    <t>Resources</t>
    <phoneticPr fontId="4"/>
  </si>
  <si>
    <t>TIMELINE</t>
    <phoneticPr fontId="33"/>
  </si>
  <si>
    <t>PROGRESS</t>
    <phoneticPr fontId="4"/>
  </si>
  <si>
    <t>Primary</t>
    <phoneticPr fontId="4"/>
  </si>
  <si>
    <t>Secondary</t>
    <phoneticPr fontId="4"/>
  </si>
  <si>
    <t>Tertiary</t>
    <phoneticPr fontId="4"/>
  </si>
  <si>
    <t>Scheduled</t>
    <phoneticPr fontId="4"/>
  </si>
  <si>
    <t>%</t>
    <phoneticPr fontId="4"/>
  </si>
  <si>
    <t>Project</t>
    <phoneticPr fontId="48" type="noConversion"/>
  </si>
  <si>
    <t>:</t>
    <phoneticPr fontId="4"/>
  </si>
  <si>
    <t>Project Manager</t>
    <phoneticPr fontId="4"/>
  </si>
  <si>
    <t>Project Start Date</t>
    <phoneticPr fontId="4"/>
  </si>
  <si>
    <t>Project End Date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</si>
</sst>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_ "/>
    <numFmt numFmtId="177" formatCode="0.0%"/>
    <numFmt numFmtId="178" formatCode="#,##0;\-#,##0;&quot;-&quot;"/>
    <numFmt numFmtId="179" formatCode="dd"/>
    <numFmt numFmtId="180" formatCode="aaa"/>
    <numFmt numFmtId="181" formatCode="yyyy/m/d;@"/>
    <numFmt numFmtId="182" formatCode="m/d;@"/>
    <numFmt numFmtId="183" formatCode="m"/>
    <numFmt numFmtId="184" formatCode="m\ &quot;月&quot;"/>
    <numFmt numFmtId="185" formatCode="mm\ &quot;月&quot;"/>
    <numFmt numFmtId="186" formatCode="yyyy/mm/dd"/>
  </numFmts>
  <fonts count="59" x14ac:knownFonts="1">
    <font>
      <sz val="11"/>
      <name val="ＭＳ Ｐゴシック"/>
      <family val="3"/>
      <charset val="128"/>
    </font>
    <font>
      <sz val="11"/>
      <color theme="1"/>
      <name val="Meiryo UI"/>
      <family val="2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1"/>
      <color indexed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48"/>
      <name val="ＭＳ Ｐゴシック"/>
      <family val="3"/>
      <charset val="128"/>
    </font>
    <font>
      <sz val="24"/>
      <color rgb="FFFF000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14"/>
      <color rgb="FFFF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0"/>
      <name val="ＭＳ ゴシック"/>
      <family val="3"/>
      <charset val="128"/>
    </font>
    <font>
      <sz val="6"/>
      <name val="ＭＳ ゴシック"/>
      <family val="3"/>
      <charset val="128"/>
    </font>
    <font>
      <sz val="11"/>
      <name val="Verdana"/>
      <family val="2"/>
    </font>
    <font>
      <b/>
      <sz val="14"/>
      <color theme="1"/>
      <name val="ＭＳ Ｐゴシック"/>
      <family val="3"/>
      <charset val="128"/>
    </font>
    <font>
      <sz val="6"/>
      <name val="Meiryo UI"/>
      <family val="2"/>
      <charset val="128"/>
    </font>
    <font>
      <b/>
      <sz val="11"/>
      <color rgb="FFFF0000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name val="Meiryo UI"/>
      <family val="3"/>
      <charset val="128"/>
    </font>
    <font>
      <sz val="9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name val="游ゴシック"/>
      <family val="3"/>
      <charset val="128"/>
    </font>
    <font>
      <b/>
      <sz val="14"/>
      <name val="游ゴシック"/>
      <family val="3"/>
      <charset val="128"/>
    </font>
    <font>
      <b/>
      <sz val="14"/>
      <color theme="1"/>
      <name val="游ゴシック"/>
      <family val="3"/>
      <charset val="128"/>
    </font>
    <font>
      <b/>
      <sz val="11"/>
      <name val="游ゴシック"/>
      <family val="3"/>
      <charset val="128"/>
    </font>
    <font>
      <b/>
      <sz val="14"/>
      <color rgb="FFFF0000"/>
      <name val="游ゴシック"/>
      <family val="3"/>
      <charset val="128"/>
    </font>
    <font>
      <b/>
      <sz val="11"/>
      <color rgb="FFFF0000"/>
      <name val="游ゴシック"/>
      <family val="3"/>
      <charset val="128"/>
    </font>
    <font>
      <sz val="8"/>
      <name val="ＭＳ Ｐゴシック"/>
      <family val="2"/>
      <scheme val="minor"/>
    </font>
    <font>
      <b/>
      <sz val="18"/>
      <color theme="1"/>
      <name val="游ゴシック"/>
      <family val="3"/>
      <charset val="128"/>
    </font>
    <font>
      <b/>
      <sz val="11"/>
      <color theme="1"/>
      <name val="游ゴシック"/>
      <family val="3"/>
      <charset val="128"/>
    </font>
    <font>
      <b/>
      <sz val="14"/>
      <color theme="0"/>
      <name val="游ゴシック"/>
      <family val="3"/>
      <charset val="128"/>
    </font>
    <font>
      <sz val="12"/>
      <name val="游ゴシック"/>
      <family val="3"/>
      <charset val="128"/>
    </font>
    <font>
      <sz val="16"/>
      <name val="游ゴシック"/>
      <family val="3"/>
      <charset val="128"/>
    </font>
    <font>
      <sz val="18"/>
      <name val="游ゴシック"/>
      <family val="3"/>
      <charset val="128"/>
    </font>
    <font>
      <b/>
      <sz val="16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b/>
      <sz val="10"/>
      <color theme="0"/>
      <name val="游ゴシック"/>
      <family val="3"/>
      <charset val="128"/>
    </font>
    <font>
      <sz val="11"/>
      <color theme="0"/>
      <name val="游ゴシック"/>
      <family val="3"/>
      <charset val="128"/>
    </font>
  </fonts>
  <fills count="2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26A86D"/>
        <bgColor indexed="64"/>
      </patternFill>
    </fill>
    <fill>
      <patternFill patternType="solid">
        <fgColor rgb="FF172144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94">
    <xf numFmtId="0" fontId="0" fillId="0" borderId="0"/>
    <xf numFmtId="0" fontId="9" fillId="2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178" fontId="5" fillId="0" borderId="0" applyFill="0" applyBorder="0" applyAlignment="0"/>
    <xf numFmtId="0" fontId="6" fillId="0" borderId="1" applyNumberFormat="0" applyAlignment="0" applyProtection="0">
      <alignment horizontal="left" vertical="center"/>
    </xf>
    <xf numFmtId="0" fontId="6" fillId="0" borderId="2">
      <alignment horizontal="left" vertical="center"/>
    </xf>
    <xf numFmtId="0" fontId="7" fillId="0" borderId="0"/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20" borderId="3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9" fontId="3" fillId="0" borderId="0" applyFont="0" applyFill="0" applyBorder="0" applyAlignment="0" applyProtection="0"/>
    <xf numFmtId="0" fontId="9" fillId="22" borderId="4" applyNumberFormat="0" applyFont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6" fillId="23" borderId="6" applyNumberForma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21" fillId="23" borderId="11" applyNumberForma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7" borderId="6" applyNumberFormat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31" fillId="0" borderId="0">
      <alignment vertical="center"/>
    </xf>
    <xf numFmtId="0" fontId="3" fillId="0" borderId="0">
      <alignment vertical="center"/>
    </xf>
    <xf numFmtId="0" fontId="9" fillId="2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20" borderId="3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3" fillId="22" borderId="4" applyNumberFormat="0" applyFont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6" fillId="23" borderId="6" applyNumberForma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21" fillId="23" borderId="11" applyNumberForma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7" borderId="6" applyNumberFormat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32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9" fontId="3" fillId="0" borderId="0" applyFont="0" applyFill="0" applyBorder="0" applyAlignment="0" applyProtection="0"/>
  </cellStyleXfs>
  <cellXfs count="155">
    <xf numFmtId="0" fontId="0" fillId="0" borderId="0" xfId="0"/>
    <xf numFmtId="182" fontId="34" fillId="0" borderId="19" xfId="48" applyNumberFormat="1" applyFont="1" applyFill="1" applyBorder="1" applyAlignment="1">
      <alignment horizontal="center" vertical="top" wrapText="1"/>
    </xf>
    <xf numFmtId="182" fontId="34" fillId="0" borderId="19" xfId="47" applyNumberFormat="1" applyFont="1" applyFill="1" applyBorder="1" applyAlignment="1">
      <alignment horizontal="center" vertical="top" wrapText="1"/>
    </xf>
    <xf numFmtId="182" fontId="34" fillId="0" borderId="19" xfId="0" applyNumberFormat="1" applyFont="1" applyBorder="1" applyAlignment="1">
      <alignment horizontal="center" vertical="center" wrapText="1"/>
    </xf>
    <xf numFmtId="0" fontId="25" fillId="24" borderId="21" xfId="90" applyFont="1" applyFill="1" applyBorder="1" applyAlignment="1" applyProtection="1">
      <alignment horizontal="center" vertical="center"/>
    </xf>
    <xf numFmtId="182" fontId="34" fillId="0" borderId="21" xfId="48" applyNumberFormat="1" applyFont="1" applyFill="1" applyBorder="1" applyAlignment="1">
      <alignment horizontal="center" vertical="top" wrapText="1"/>
    </xf>
    <xf numFmtId="182" fontId="34" fillId="0" borderId="21" xfId="47" applyNumberFormat="1" applyFont="1" applyFill="1" applyBorder="1" applyAlignment="1">
      <alignment horizontal="center" vertical="top" wrapText="1"/>
    </xf>
    <xf numFmtId="182" fontId="34" fillId="0" borderId="21" xfId="0" applyNumberFormat="1" applyFont="1" applyBorder="1" applyAlignment="1">
      <alignment horizontal="center" vertical="center" wrapText="1"/>
    </xf>
    <xf numFmtId="176" fontId="34" fillId="0" borderId="21" xfId="0" applyNumberFormat="1" applyFont="1" applyBorder="1" applyAlignment="1">
      <alignment horizontal="right" vertical="center" wrapText="1"/>
    </xf>
    <xf numFmtId="177" fontId="34" fillId="0" borderId="12" xfId="32" applyNumberFormat="1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180" fontId="34" fillId="0" borderId="24" xfId="0" applyNumberFormat="1" applyFont="1" applyFill="1" applyBorder="1" applyAlignment="1">
      <alignment horizontal="center" vertical="center"/>
    </xf>
    <xf numFmtId="180" fontId="34" fillId="0" borderId="24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left" vertical="center"/>
    </xf>
    <xf numFmtId="0" fontId="0" fillId="0" borderId="2" xfId="0" applyFill="1" applyBorder="1" applyAlignment="1">
      <alignment horizontal="left" vertical="top" wrapText="1"/>
    </xf>
    <xf numFmtId="0" fontId="0" fillId="0" borderId="2" xfId="0" applyFill="1" applyBorder="1"/>
    <xf numFmtId="49" fontId="31" fillId="0" borderId="2" xfId="47" applyNumberFormat="1" applyFill="1" applyBorder="1">
      <alignment vertical="center"/>
    </xf>
    <xf numFmtId="0" fontId="31" fillId="0" borderId="2" xfId="47" applyFill="1" applyBorder="1">
      <alignment vertical="center"/>
    </xf>
    <xf numFmtId="0" fontId="28" fillId="0" borderId="2" xfId="0" applyFont="1" applyFill="1" applyBorder="1" applyAlignment="1">
      <alignment vertical="center" wrapText="1"/>
    </xf>
    <xf numFmtId="0" fontId="29" fillId="0" borderId="2" xfId="0" applyFont="1" applyFill="1" applyBorder="1" applyAlignment="1">
      <alignment vertical="center" wrapText="1"/>
    </xf>
    <xf numFmtId="0" fontId="28" fillId="0" borderId="2" xfId="0" applyFont="1" applyFill="1" applyBorder="1" applyAlignment="1">
      <alignment vertical="top" wrapText="1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wrapText="1"/>
    </xf>
    <xf numFmtId="49" fontId="31" fillId="0" borderId="2" xfId="47" applyNumberFormat="1" applyFill="1" applyBorder="1" applyAlignment="1">
      <alignment vertical="center"/>
    </xf>
    <xf numFmtId="49" fontId="31" fillId="0" borderId="2" xfId="47" applyNumberFormat="1" applyFill="1" applyBorder="1" applyAlignment="1">
      <alignment horizontal="center" vertical="center"/>
    </xf>
    <xf numFmtId="0" fontId="0" fillId="0" borderId="2" xfId="0" applyFill="1" applyBorder="1" applyAlignment="1">
      <alignment vertical="top" wrapText="1"/>
    </xf>
    <xf numFmtId="0" fontId="0" fillId="0" borderId="2" xfId="0" applyFill="1" applyBorder="1" applyAlignment="1"/>
    <xf numFmtId="0" fontId="0" fillId="0" borderId="2" xfId="0" applyFill="1" applyBorder="1" applyAlignment="1">
      <alignment vertical="center" wrapText="1"/>
    </xf>
    <xf numFmtId="0" fontId="30" fillId="0" borderId="2" xfId="0" applyFont="1" applyFill="1" applyBorder="1" applyAlignment="1">
      <alignment horizontal="left" vertical="center"/>
    </xf>
    <xf numFmtId="0" fontId="0" fillId="0" borderId="2" xfId="0" applyFont="1" applyFill="1" applyBorder="1" applyAlignment="1">
      <alignment horizontal="left" vertical="top" wrapText="1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/>
    <xf numFmtId="180" fontId="34" fillId="0" borderId="2" xfId="0" applyNumberFormat="1" applyFont="1" applyFill="1" applyBorder="1" applyAlignment="1">
      <alignment horizontal="center" vertical="center"/>
    </xf>
    <xf numFmtId="180" fontId="34" fillId="0" borderId="16" xfId="0" applyNumberFormat="1" applyFont="1" applyFill="1" applyBorder="1" applyAlignment="1">
      <alignment horizontal="center" vertical="center"/>
    </xf>
    <xf numFmtId="176" fontId="34" fillId="0" borderId="2" xfId="0" applyNumberFormat="1" applyFont="1" applyBorder="1" applyAlignment="1">
      <alignment horizontal="right" vertical="center" wrapText="1"/>
    </xf>
    <xf numFmtId="0" fontId="34" fillId="0" borderId="0" xfId="0" applyFont="1"/>
    <xf numFmtId="0" fontId="0" fillId="0" borderId="12" xfId="0" applyNumberFormat="1" applyFont="1" applyFill="1" applyBorder="1" applyAlignment="1">
      <alignment vertical="top" wrapText="1"/>
    </xf>
    <xf numFmtId="181" fontId="0" fillId="0" borderId="12" xfId="0" applyNumberFormat="1" applyFont="1" applyFill="1" applyBorder="1" applyAlignment="1">
      <alignment horizontal="left" vertical="top" wrapText="1"/>
    </xf>
    <xf numFmtId="0" fontId="0" fillId="0" borderId="2" xfId="0" applyFill="1" applyBorder="1" applyAlignment="1">
      <alignment horizontal="left" vertical="center" wrapText="1"/>
    </xf>
    <xf numFmtId="0" fontId="0" fillId="0" borderId="16" xfId="0" applyFill="1" applyBorder="1"/>
    <xf numFmtId="0" fontId="0" fillId="0" borderId="12" xfId="0" applyFont="1" applyBorder="1" applyAlignment="1">
      <alignment vertical="top"/>
    </xf>
    <xf numFmtId="181" fontId="0" fillId="0" borderId="13" xfId="0" applyNumberFormat="1" applyFont="1" applyFill="1" applyBorder="1" applyAlignment="1">
      <alignment horizontal="left" vertical="top" wrapText="1"/>
    </xf>
    <xf numFmtId="0" fontId="0" fillId="0" borderId="13" xfId="0" applyFont="1" applyBorder="1" applyAlignment="1">
      <alignment vertical="top"/>
    </xf>
    <xf numFmtId="182" fontId="34" fillId="0" borderId="19" xfId="0" applyNumberFormat="1" applyFont="1" applyBorder="1" applyAlignment="1">
      <alignment horizontal="center" vertical="top" wrapText="1"/>
    </xf>
    <xf numFmtId="182" fontId="34" fillId="0" borderId="21" xfId="0" applyNumberFormat="1" applyFont="1" applyBorder="1" applyAlignment="1">
      <alignment horizontal="center" vertical="top" wrapText="1"/>
    </xf>
    <xf numFmtId="0" fontId="34" fillId="0" borderId="21" xfId="0" applyFont="1" applyFill="1" applyBorder="1" applyAlignment="1">
      <alignment vertical="center" wrapText="1"/>
    </xf>
    <xf numFmtId="0" fontId="34" fillId="0" borderId="22" xfId="0" applyFont="1" applyFill="1" applyBorder="1" applyAlignment="1">
      <alignment vertical="center" wrapText="1"/>
    </xf>
    <xf numFmtId="181" fontId="0" fillId="0" borderId="14" xfId="0" applyNumberFormat="1" applyFill="1" applyBorder="1" applyAlignment="1">
      <alignment horizontal="left" vertical="top" wrapText="1"/>
    </xf>
    <xf numFmtId="0" fontId="0" fillId="0" borderId="12" xfId="0" applyBorder="1" applyAlignment="1">
      <alignment vertical="top"/>
    </xf>
    <xf numFmtId="0" fontId="0" fillId="0" borderId="13" xfId="0" applyNumberFormat="1" applyFill="1" applyBorder="1" applyAlignment="1">
      <alignment horizontal="center" vertical="top" wrapText="1"/>
    </xf>
    <xf numFmtId="0" fontId="0" fillId="0" borderId="15" xfId="0" applyBorder="1" applyAlignment="1">
      <alignment vertical="top"/>
    </xf>
    <xf numFmtId="176" fontId="34" fillId="0" borderId="21" xfId="0" applyNumberFormat="1" applyFont="1" applyBorder="1" applyAlignment="1">
      <alignment vertical="center" wrapText="1"/>
    </xf>
    <xf numFmtId="0" fontId="34" fillId="0" borderId="21" xfId="0" applyFont="1" applyBorder="1" applyAlignment="1">
      <alignment vertical="center" wrapText="1"/>
    </xf>
    <xf numFmtId="176" fontId="34" fillId="0" borderId="22" xfId="0" applyNumberFormat="1" applyFont="1" applyBorder="1" applyAlignment="1">
      <alignment vertical="center" wrapText="1"/>
    </xf>
    <xf numFmtId="0" fontId="34" fillId="0" borderId="22" xfId="0" applyFont="1" applyBorder="1" applyAlignment="1">
      <alignment vertical="center" wrapText="1"/>
    </xf>
    <xf numFmtId="179" fontId="34" fillId="0" borderId="2" xfId="0" applyNumberFormat="1" applyFont="1" applyFill="1" applyBorder="1" applyAlignment="1">
      <alignment horizontal="center" vertical="center" shrinkToFit="1"/>
    </xf>
    <xf numFmtId="0" fontId="37" fillId="0" borderId="0" xfId="0" applyFont="1" applyAlignment="1">
      <alignment vertical="center"/>
    </xf>
    <xf numFmtId="0" fontId="38" fillId="0" borderId="0" xfId="91" applyFont="1">
      <alignment vertical="center"/>
    </xf>
    <xf numFmtId="0" fontId="39" fillId="0" borderId="0" xfId="0" applyFont="1" applyAlignment="1">
      <alignment vertical="center"/>
    </xf>
    <xf numFmtId="0" fontId="25" fillId="24" borderId="19" xfId="90" applyFont="1" applyFill="1" applyBorder="1" applyAlignment="1" applyProtection="1">
      <alignment horizontal="center" vertical="center"/>
    </xf>
    <xf numFmtId="184" fontId="35" fillId="0" borderId="20" xfId="0" applyNumberFormat="1" applyFont="1" applyBorder="1" applyAlignment="1">
      <alignment horizontal="center" vertical="center" shrinkToFit="1"/>
    </xf>
    <xf numFmtId="0" fontId="40" fillId="0" borderId="0" xfId="0" applyFont="1" applyAlignment="1">
      <alignment horizontal="center"/>
    </xf>
    <xf numFmtId="0" fontId="40" fillId="0" borderId="12" xfId="0" applyFont="1" applyBorder="1" applyAlignment="1">
      <alignment horizontal="center"/>
    </xf>
    <xf numFmtId="0" fontId="40" fillId="0" borderId="0" xfId="0" applyFont="1" applyAlignment="1"/>
    <xf numFmtId="0" fontId="41" fillId="0" borderId="0" xfId="0" applyFont="1" applyAlignment="1"/>
    <xf numFmtId="0" fontId="40" fillId="0" borderId="0" xfId="0" applyFont="1" applyAlignment="1">
      <alignment horizontal="right"/>
    </xf>
    <xf numFmtId="185" fontId="34" fillId="0" borderId="17" xfId="0" applyNumberFormat="1" applyFont="1" applyFill="1" applyBorder="1" applyAlignment="1">
      <alignment horizontal="center" vertical="center" shrinkToFit="1"/>
    </xf>
    <xf numFmtId="185" fontId="34" fillId="0" borderId="20" xfId="0" applyNumberFormat="1" applyFont="1" applyFill="1" applyBorder="1" applyAlignment="1">
      <alignment horizontal="center" vertical="center" shrinkToFit="1"/>
    </xf>
    <xf numFmtId="0" fontId="39" fillId="0" borderId="12" xfId="0" applyFont="1" applyBorder="1" applyAlignment="1">
      <alignment horizontal="right" vertical="center"/>
    </xf>
    <xf numFmtId="186" fontId="39" fillId="25" borderId="12" xfId="0" applyNumberFormat="1" applyFont="1" applyFill="1" applyBorder="1" applyAlignment="1">
      <alignment vertical="center"/>
    </xf>
    <xf numFmtId="186" fontId="38" fillId="25" borderId="12" xfId="91" applyNumberFormat="1" applyFont="1" applyFill="1" applyBorder="1">
      <alignment vertical="center"/>
    </xf>
    <xf numFmtId="14" fontId="0" fillId="0" borderId="0" xfId="0" applyNumberFormat="1"/>
    <xf numFmtId="0" fontId="25" fillId="0" borderId="25" xfId="0" applyFont="1" applyBorder="1" applyAlignment="1">
      <alignment horizontal="center" vertical="center" wrapText="1"/>
    </xf>
    <xf numFmtId="0" fontId="25" fillId="0" borderId="26" xfId="0" applyFont="1" applyBorder="1" applyAlignment="1">
      <alignment horizontal="center" vertical="center" wrapText="1"/>
    </xf>
    <xf numFmtId="0" fontId="25" fillId="0" borderId="23" xfId="0" applyFont="1" applyBorder="1" applyAlignment="1">
      <alignment horizontal="center" vertical="center" wrapText="1"/>
    </xf>
    <xf numFmtId="0" fontId="25" fillId="0" borderId="22" xfId="0" applyFont="1" applyBorder="1" applyAlignment="1">
      <alignment horizontal="center" vertical="center" wrapText="1"/>
    </xf>
    <xf numFmtId="0" fontId="25" fillId="0" borderId="15" xfId="0" applyFont="1" applyBorder="1" applyAlignment="1">
      <alignment horizontal="center" vertical="center" wrapText="1"/>
    </xf>
    <xf numFmtId="0" fontId="25" fillId="0" borderId="13" xfId="0" applyFont="1" applyBorder="1" applyAlignment="1">
      <alignment horizontal="center" vertical="center" wrapText="1"/>
    </xf>
    <xf numFmtId="0" fontId="25" fillId="0" borderId="15" xfId="0" applyFont="1" applyBorder="1" applyAlignment="1">
      <alignment horizontal="center" vertical="center" textRotation="255"/>
    </xf>
    <xf numFmtId="0" fontId="25" fillId="0" borderId="14" xfId="0" applyFont="1" applyBorder="1" applyAlignment="1">
      <alignment horizontal="center" vertical="center" textRotation="255"/>
    </xf>
    <xf numFmtId="0" fontId="25" fillId="0" borderId="13" xfId="0" applyFont="1" applyBorder="1" applyAlignment="1">
      <alignment horizontal="center" vertical="center" textRotation="255"/>
    </xf>
    <xf numFmtId="0" fontId="25" fillId="0" borderId="19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24" borderId="15" xfId="90" applyFont="1" applyFill="1" applyBorder="1" applyAlignment="1" applyProtection="1">
      <alignment horizontal="center" vertical="center"/>
    </xf>
    <xf numFmtId="0" fontId="25" fillId="24" borderId="14" xfId="90" applyFont="1" applyFill="1" applyBorder="1" applyAlignment="1" applyProtection="1">
      <alignment horizontal="center" vertical="center"/>
    </xf>
    <xf numFmtId="0" fontId="25" fillId="24" borderId="13" xfId="90" applyFont="1" applyFill="1" applyBorder="1" applyAlignment="1" applyProtection="1">
      <alignment horizontal="center" vertical="center"/>
    </xf>
    <xf numFmtId="0" fontId="25" fillId="24" borderId="19" xfId="90" applyFont="1" applyFill="1" applyBorder="1" applyAlignment="1" applyProtection="1">
      <alignment horizontal="center" vertical="center"/>
    </xf>
    <xf numFmtId="0" fontId="25" fillId="24" borderId="2" xfId="90" applyFont="1" applyFill="1" applyBorder="1" applyAlignment="1" applyProtection="1">
      <alignment horizontal="center" vertical="center"/>
    </xf>
    <xf numFmtId="0" fontId="25" fillId="24" borderId="16" xfId="90" applyFont="1" applyFill="1" applyBorder="1" applyAlignment="1" applyProtection="1">
      <alignment horizontal="center" vertical="center"/>
    </xf>
    <xf numFmtId="0" fontId="25" fillId="0" borderId="17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24" borderId="12" xfId="90" applyFont="1" applyFill="1" applyBorder="1" applyAlignment="1" applyProtection="1">
      <alignment horizontal="center" vertical="center"/>
    </xf>
    <xf numFmtId="0" fontId="40" fillId="0" borderId="12" xfId="0" applyFont="1" applyBorder="1" applyAlignment="1">
      <alignment horizontal="center"/>
    </xf>
    <xf numFmtId="0" fontId="40" fillId="0" borderId="19" xfId="0" applyFont="1" applyBorder="1" applyAlignment="1">
      <alignment horizontal="center"/>
    </xf>
    <xf numFmtId="0" fontId="40" fillId="0" borderId="2" xfId="0" applyFont="1" applyBorder="1" applyAlignment="1">
      <alignment horizontal="center"/>
    </xf>
    <xf numFmtId="0" fontId="40" fillId="0" borderId="16" xfId="0" applyFont="1" applyBorder="1" applyAlignment="1">
      <alignment horizontal="center"/>
    </xf>
    <xf numFmtId="0" fontId="42" fillId="0" borderId="0" xfId="0" applyFont="1" applyFill="1" applyBorder="1"/>
    <xf numFmtId="0" fontId="42" fillId="0" borderId="0" xfId="0" applyFont="1" applyBorder="1"/>
    <xf numFmtId="0" fontId="49" fillId="0" borderId="0" xfId="0" applyFont="1" applyBorder="1"/>
    <xf numFmtId="0" fontId="50" fillId="0" borderId="0" xfId="0" applyFont="1" applyBorder="1"/>
    <xf numFmtId="15" fontId="42" fillId="0" borderId="0" xfId="0" applyNumberFormat="1" applyFont="1" applyBorder="1" applyAlignment="1">
      <alignment horizontal="left"/>
    </xf>
    <xf numFmtId="0" fontId="42" fillId="0" borderId="0" xfId="0" applyFont="1" applyBorder="1" applyAlignment="1">
      <alignment horizontal="center" vertical="center"/>
    </xf>
    <xf numFmtId="183" fontId="44" fillId="0" borderId="0" xfId="0" applyNumberFormat="1" applyFont="1" applyBorder="1" applyAlignment="1">
      <alignment horizontal="center" vertical="center" shrinkToFit="1"/>
    </xf>
    <xf numFmtId="179" fontId="42" fillId="0" borderId="0" xfId="0" applyNumberFormat="1" applyFont="1" applyFill="1" applyBorder="1" applyAlignment="1">
      <alignment horizontal="center" vertical="center" shrinkToFit="1"/>
    </xf>
    <xf numFmtId="0" fontId="51" fillId="26" borderId="0" xfId="0" applyFont="1" applyFill="1" applyBorder="1" applyAlignment="1">
      <alignment horizontal="center" vertical="center" textRotation="255"/>
    </xf>
    <xf numFmtId="0" fontId="51" fillId="26" borderId="0" xfId="0" applyFont="1" applyFill="1" applyBorder="1" applyAlignment="1">
      <alignment horizontal="center" vertical="center"/>
    </xf>
    <xf numFmtId="0" fontId="51" fillId="26" borderId="0" xfId="90" applyFont="1" applyFill="1" applyBorder="1" applyAlignment="1" applyProtection="1">
      <alignment horizontal="center" vertical="center"/>
    </xf>
    <xf numFmtId="0" fontId="55" fillId="0" borderId="0" xfId="0" applyFont="1" applyBorder="1"/>
    <xf numFmtId="0" fontId="56" fillId="0" borderId="0" xfId="0" applyFont="1" applyBorder="1"/>
    <xf numFmtId="0" fontId="54" fillId="0" borderId="0" xfId="0" applyFont="1" applyBorder="1" applyAlignment="1">
      <alignment horizontal="center"/>
    </xf>
    <xf numFmtId="0" fontId="53" fillId="0" borderId="0" xfId="0" applyFont="1" applyBorder="1" applyAlignment="1">
      <alignment horizontal="center"/>
    </xf>
    <xf numFmtId="0" fontId="52" fillId="0" borderId="0" xfId="0" applyFont="1" applyBorder="1" applyAlignment="1">
      <alignment horizontal="center"/>
    </xf>
    <xf numFmtId="0" fontId="57" fillId="26" borderId="0" xfId="0" applyFont="1" applyFill="1" applyBorder="1" applyAlignment="1">
      <alignment horizontal="center" vertical="center"/>
    </xf>
    <xf numFmtId="0" fontId="57" fillId="26" borderId="0" xfId="0" applyFont="1" applyFill="1" applyBorder="1" applyAlignment="1">
      <alignment horizontal="center" vertical="center" wrapText="1"/>
    </xf>
    <xf numFmtId="0" fontId="57" fillId="26" borderId="0" xfId="90" applyFont="1" applyFill="1" applyBorder="1" applyAlignment="1" applyProtection="1">
      <alignment horizontal="center" vertical="center"/>
    </xf>
    <xf numFmtId="0" fontId="57" fillId="26" borderId="0" xfId="90" applyFont="1" applyFill="1" applyBorder="1" applyAlignment="1" applyProtection="1">
      <alignment horizontal="center" vertical="center"/>
    </xf>
    <xf numFmtId="180" fontId="58" fillId="27" borderId="0" xfId="0" applyNumberFormat="1" applyFont="1" applyFill="1" applyBorder="1" applyAlignment="1">
      <alignment horizontal="center" vertical="center" wrapText="1"/>
    </xf>
    <xf numFmtId="180" fontId="58" fillId="27" borderId="0" xfId="0" applyNumberFormat="1" applyFont="1" applyFill="1" applyBorder="1" applyAlignment="1">
      <alignment horizontal="center" vertical="center"/>
    </xf>
    <xf numFmtId="0" fontId="45" fillId="0" borderId="27" xfId="0" applyNumberFormat="1" applyFont="1" applyFill="1" applyBorder="1" applyAlignment="1">
      <alignment vertical="top" wrapText="1"/>
    </xf>
    <xf numFmtId="181" fontId="45" fillId="0" borderId="27" xfId="0" applyNumberFormat="1" applyFont="1" applyFill="1" applyBorder="1" applyAlignment="1">
      <alignment horizontal="left" vertical="top" wrapText="1"/>
    </xf>
    <xf numFmtId="0" fontId="45" fillId="0" borderId="27" xfId="0" applyFont="1" applyBorder="1" applyAlignment="1">
      <alignment vertical="top"/>
    </xf>
    <xf numFmtId="0" fontId="45" fillId="0" borderId="27" xfId="0" applyNumberFormat="1" applyFont="1" applyFill="1" applyBorder="1" applyAlignment="1">
      <alignment horizontal="center" vertical="top" wrapText="1"/>
    </xf>
    <xf numFmtId="176" fontId="45" fillId="0" borderId="27" xfId="0" applyNumberFormat="1" applyFont="1" applyBorder="1" applyAlignment="1">
      <alignment horizontal="right" vertical="center" wrapText="1"/>
    </xf>
    <xf numFmtId="177" fontId="45" fillId="0" borderId="27" xfId="32" applyNumberFormat="1" applyFont="1" applyBorder="1" applyAlignment="1">
      <alignment horizontal="center" vertical="center" wrapText="1"/>
    </xf>
    <xf numFmtId="182" fontId="45" fillId="0" borderId="27" xfId="0" applyNumberFormat="1" applyFont="1" applyBorder="1" applyAlignment="1">
      <alignment horizontal="center" vertical="top" wrapText="1"/>
    </xf>
    <xf numFmtId="182" fontId="45" fillId="0" borderId="27" xfId="47" applyNumberFormat="1" applyFont="1" applyFill="1" applyBorder="1" applyAlignment="1">
      <alignment horizontal="center" vertical="top" wrapText="1"/>
    </xf>
    <xf numFmtId="0" fontId="45" fillId="0" borderId="27" xfId="0" applyFont="1" applyFill="1" applyBorder="1" applyAlignment="1">
      <alignment horizontal="left" vertical="center" wrapText="1"/>
    </xf>
    <xf numFmtId="0" fontId="45" fillId="0" borderId="27" xfId="0" applyFont="1" applyFill="1" applyBorder="1" applyAlignment="1">
      <alignment horizontal="left" vertical="top" wrapText="1"/>
    </xf>
    <xf numFmtId="0" fontId="50" fillId="0" borderId="27" xfId="47" applyFont="1" applyFill="1" applyBorder="1">
      <alignment vertical="center"/>
    </xf>
    <xf numFmtId="0" fontId="45" fillId="0" borderId="27" xfId="0" applyFont="1" applyFill="1" applyBorder="1"/>
    <xf numFmtId="0" fontId="45" fillId="0" borderId="27" xfId="0" applyFont="1" applyFill="1" applyBorder="1" applyAlignment="1">
      <alignment vertical="center" wrapText="1"/>
    </xf>
    <xf numFmtId="182" fontId="45" fillId="0" borderId="27" xfId="48" applyNumberFormat="1" applyFont="1" applyFill="1" applyBorder="1" applyAlignment="1">
      <alignment horizontal="center" vertical="top" wrapText="1"/>
    </xf>
    <xf numFmtId="0" fontId="47" fillId="0" borderId="27" xfId="0" applyFont="1" applyFill="1" applyBorder="1" applyAlignment="1">
      <alignment vertical="top" wrapText="1"/>
    </xf>
    <xf numFmtId="49" fontId="50" fillId="0" borderId="27" xfId="47" applyNumberFormat="1" applyFont="1" applyFill="1" applyBorder="1">
      <alignment vertical="center"/>
    </xf>
    <xf numFmtId="176" fontId="45" fillId="0" borderId="27" xfId="0" applyNumberFormat="1" applyFont="1" applyBorder="1" applyAlignment="1">
      <alignment vertical="center" wrapText="1"/>
    </xf>
    <xf numFmtId="0" fontId="45" fillId="0" borderId="27" xfId="0" applyFont="1" applyFill="1" applyBorder="1" applyAlignment="1">
      <alignment horizontal="left" vertical="center"/>
    </xf>
    <xf numFmtId="0" fontId="45" fillId="0" borderId="27" xfId="0" applyFont="1" applyBorder="1" applyAlignment="1">
      <alignment vertical="center" wrapText="1"/>
    </xf>
    <xf numFmtId="0" fontId="43" fillId="24" borderId="27" xfId="90" applyFont="1" applyFill="1" applyBorder="1" applyAlignment="1" applyProtection="1">
      <alignment horizontal="center" vertical="center"/>
    </xf>
    <xf numFmtId="0" fontId="46" fillId="0" borderId="27" xfId="0" applyFont="1" applyFill="1" applyBorder="1" applyAlignment="1">
      <alignment horizontal="left" vertical="center"/>
    </xf>
    <xf numFmtId="180" fontId="45" fillId="0" borderId="27" xfId="0" applyNumberFormat="1" applyFont="1" applyFill="1" applyBorder="1" applyAlignment="1">
      <alignment horizontal="center" vertical="center" wrapText="1"/>
    </xf>
    <xf numFmtId="180" fontId="45" fillId="0" borderId="27" xfId="0" applyNumberFormat="1" applyFont="1" applyFill="1" applyBorder="1" applyAlignment="1">
      <alignment horizontal="center" vertical="center"/>
    </xf>
    <xf numFmtId="0" fontId="45" fillId="0" borderId="27" xfId="0" applyFont="1" applyFill="1" applyBorder="1" applyAlignment="1">
      <alignment vertical="top" wrapText="1"/>
    </xf>
    <xf numFmtId="0" fontId="45" fillId="0" borderId="27" xfId="0" applyFont="1" applyFill="1" applyBorder="1" applyAlignment="1">
      <alignment vertical="top"/>
    </xf>
    <xf numFmtId="0" fontId="45" fillId="0" borderId="27" xfId="0" applyFont="1" applyFill="1" applyBorder="1" applyAlignment="1">
      <alignment vertical="center"/>
    </xf>
    <xf numFmtId="0" fontId="45" fillId="0" borderId="27" xfId="0" applyFont="1" applyFill="1" applyBorder="1" applyAlignment="1"/>
    <xf numFmtId="0" fontId="47" fillId="0" borderId="27" xfId="0" applyFont="1" applyFill="1" applyBorder="1" applyAlignment="1">
      <alignment vertical="center" wrapText="1"/>
    </xf>
    <xf numFmtId="49" fontId="50" fillId="0" borderId="27" xfId="47" applyNumberFormat="1" applyFont="1" applyFill="1" applyBorder="1" applyAlignment="1">
      <alignment vertical="center"/>
    </xf>
    <xf numFmtId="49" fontId="50" fillId="0" borderId="27" xfId="47" applyNumberFormat="1" applyFont="1" applyFill="1" applyBorder="1" applyAlignment="1">
      <alignment horizontal="center" vertical="center"/>
    </xf>
    <xf numFmtId="182" fontId="45" fillId="0" borderId="27" xfId="0" applyNumberFormat="1" applyFont="1" applyBorder="1" applyAlignment="1">
      <alignment horizontal="center" vertical="center" wrapText="1"/>
    </xf>
  </cellXfs>
  <cellStyles count="94">
    <cellStyle name="20% - アクセント 1" xfId="1" builtinId="30" customBuiltin="1"/>
    <cellStyle name="20% - アクセント 1 2" xfId="49" xr:uid="{00000000-0005-0000-0000-000001000000}"/>
    <cellStyle name="20% - アクセント 2" xfId="2" builtinId="34" customBuiltin="1"/>
    <cellStyle name="20% - アクセント 2 2" xfId="50" xr:uid="{00000000-0005-0000-0000-000003000000}"/>
    <cellStyle name="20% - アクセント 3" xfId="3" builtinId="38" customBuiltin="1"/>
    <cellStyle name="20% - アクセント 3 2" xfId="51" xr:uid="{00000000-0005-0000-0000-000005000000}"/>
    <cellStyle name="20% - アクセント 4" xfId="4" builtinId="42" customBuiltin="1"/>
    <cellStyle name="20% - アクセント 4 2" xfId="52" xr:uid="{00000000-0005-0000-0000-000007000000}"/>
    <cellStyle name="20% - アクセント 5" xfId="5" builtinId="46" customBuiltin="1"/>
    <cellStyle name="20% - アクセント 5 2" xfId="53" xr:uid="{00000000-0005-0000-0000-000009000000}"/>
    <cellStyle name="20% - アクセント 6" xfId="6" builtinId="50" customBuiltin="1"/>
    <cellStyle name="20% - アクセント 6 2" xfId="54" xr:uid="{00000000-0005-0000-0000-00000B000000}"/>
    <cellStyle name="40% - アクセント 1" xfId="7" builtinId="31" customBuiltin="1"/>
    <cellStyle name="40% - アクセント 1 2" xfId="55" xr:uid="{00000000-0005-0000-0000-00000D000000}"/>
    <cellStyle name="40% - アクセント 2" xfId="8" builtinId="35" customBuiltin="1"/>
    <cellStyle name="40% - アクセント 2 2" xfId="56" xr:uid="{00000000-0005-0000-0000-00000F000000}"/>
    <cellStyle name="40% - アクセント 3" xfId="9" builtinId="39" customBuiltin="1"/>
    <cellStyle name="40% - アクセント 3 2" xfId="57" xr:uid="{00000000-0005-0000-0000-000011000000}"/>
    <cellStyle name="40% - アクセント 4" xfId="10" builtinId="43" customBuiltin="1"/>
    <cellStyle name="40% - アクセント 4 2" xfId="58" xr:uid="{00000000-0005-0000-0000-000013000000}"/>
    <cellStyle name="40% - アクセント 5" xfId="11" builtinId="47" customBuiltin="1"/>
    <cellStyle name="40% - アクセント 5 2" xfId="59" xr:uid="{00000000-0005-0000-0000-000015000000}"/>
    <cellStyle name="40% - アクセント 6" xfId="12" builtinId="51" customBuiltin="1"/>
    <cellStyle name="40% - アクセント 6 2" xfId="60" xr:uid="{00000000-0005-0000-0000-000017000000}"/>
    <cellStyle name="60% - アクセント 1" xfId="13" builtinId="32" customBuiltin="1"/>
    <cellStyle name="60% - アクセント 1 2" xfId="61" xr:uid="{00000000-0005-0000-0000-000019000000}"/>
    <cellStyle name="60% - アクセント 2" xfId="14" builtinId="36" customBuiltin="1"/>
    <cellStyle name="60% - アクセント 2 2" xfId="62" xr:uid="{00000000-0005-0000-0000-00001B000000}"/>
    <cellStyle name="60% - アクセント 3" xfId="15" builtinId="40" customBuiltin="1"/>
    <cellStyle name="60% - アクセント 3 2" xfId="63" xr:uid="{00000000-0005-0000-0000-00001D000000}"/>
    <cellStyle name="60% - アクセント 4" xfId="16" builtinId="44" customBuiltin="1"/>
    <cellStyle name="60% - アクセント 4 2" xfId="64" xr:uid="{00000000-0005-0000-0000-00001F000000}"/>
    <cellStyle name="60% - アクセント 5" xfId="17" builtinId="48" customBuiltin="1"/>
    <cellStyle name="60% - アクセント 5 2" xfId="65" xr:uid="{00000000-0005-0000-0000-000021000000}"/>
    <cellStyle name="60% - アクセント 6" xfId="18" builtinId="52" customBuiltin="1"/>
    <cellStyle name="60% - アクセント 6 2" xfId="66" xr:uid="{00000000-0005-0000-0000-000023000000}"/>
    <cellStyle name="Calc Currency (0)" xfId="19" xr:uid="{00000000-0005-0000-0000-000024000000}"/>
    <cellStyle name="Header1" xfId="20" xr:uid="{00000000-0005-0000-0000-000025000000}"/>
    <cellStyle name="Header2" xfId="21" xr:uid="{00000000-0005-0000-0000-000026000000}"/>
    <cellStyle name="Normal_#18-Internet" xfId="22" xr:uid="{00000000-0005-0000-0000-000027000000}"/>
    <cellStyle name="アクセント 1" xfId="23" builtinId="29" customBuiltin="1"/>
    <cellStyle name="アクセント 1 2" xfId="67" xr:uid="{00000000-0005-0000-0000-000029000000}"/>
    <cellStyle name="アクセント 2" xfId="24" builtinId="33" customBuiltin="1"/>
    <cellStyle name="アクセント 2 2" xfId="68" xr:uid="{00000000-0005-0000-0000-00002B000000}"/>
    <cellStyle name="アクセント 3" xfId="25" builtinId="37" customBuiltin="1"/>
    <cellStyle name="アクセント 3 2" xfId="69" xr:uid="{00000000-0005-0000-0000-00002D000000}"/>
    <cellStyle name="アクセント 4" xfId="26" builtinId="41" customBuiltin="1"/>
    <cellStyle name="アクセント 4 2" xfId="70" xr:uid="{00000000-0005-0000-0000-00002F000000}"/>
    <cellStyle name="アクセント 5" xfId="27" builtinId="45" customBuiltin="1"/>
    <cellStyle name="アクセント 5 2" xfId="71" xr:uid="{00000000-0005-0000-0000-000031000000}"/>
    <cellStyle name="アクセント 6" xfId="28" builtinId="49" customBuiltin="1"/>
    <cellStyle name="アクセント 6 2" xfId="72" xr:uid="{00000000-0005-0000-0000-000033000000}"/>
    <cellStyle name="タイトル" xfId="29" builtinId="15" customBuiltin="1"/>
    <cellStyle name="タイトル 2" xfId="73" xr:uid="{00000000-0005-0000-0000-000035000000}"/>
    <cellStyle name="チェック セル" xfId="30" builtinId="23" customBuiltin="1"/>
    <cellStyle name="チェック セル 2" xfId="74" xr:uid="{00000000-0005-0000-0000-000037000000}"/>
    <cellStyle name="どちらでもない" xfId="31" builtinId="28" customBuiltin="1"/>
    <cellStyle name="どちらでもない 2" xfId="75" xr:uid="{00000000-0005-0000-0000-000039000000}"/>
    <cellStyle name="パーセント" xfId="32" builtinId="5"/>
    <cellStyle name="パーセント 2" xfId="93" xr:uid="{00000000-0005-0000-0000-00003B000000}"/>
    <cellStyle name="メモ" xfId="33" builtinId="10" customBuiltin="1"/>
    <cellStyle name="メモ 2" xfId="76" xr:uid="{00000000-0005-0000-0000-00003D000000}"/>
    <cellStyle name="リンク セル" xfId="34" builtinId="24" customBuiltin="1"/>
    <cellStyle name="リンク セル 2" xfId="77" xr:uid="{00000000-0005-0000-0000-00003F000000}"/>
    <cellStyle name="悪い" xfId="35" builtinId="27" customBuiltin="1"/>
    <cellStyle name="悪い 2" xfId="78" xr:uid="{00000000-0005-0000-0000-000041000000}"/>
    <cellStyle name="計算" xfId="36" builtinId="22" customBuiltin="1"/>
    <cellStyle name="計算 2" xfId="79" xr:uid="{00000000-0005-0000-0000-000043000000}"/>
    <cellStyle name="警告文" xfId="37" builtinId="11" customBuiltin="1"/>
    <cellStyle name="警告文 2" xfId="80" xr:uid="{00000000-0005-0000-0000-000045000000}"/>
    <cellStyle name="見出し 1" xfId="38" builtinId="16" customBuiltin="1"/>
    <cellStyle name="見出し 1 2" xfId="81" xr:uid="{00000000-0005-0000-0000-000047000000}"/>
    <cellStyle name="見出し 2" xfId="39" builtinId="17" customBuiltin="1"/>
    <cellStyle name="見出し 2 2" xfId="82" xr:uid="{00000000-0005-0000-0000-000049000000}"/>
    <cellStyle name="見出し 3" xfId="40" builtinId="18" customBuiltin="1"/>
    <cellStyle name="見出し 3 2" xfId="83" xr:uid="{00000000-0005-0000-0000-00004B000000}"/>
    <cellStyle name="見出し 4" xfId="41" builtinId="19" customBuiltin="1"/>
    <cellStyle name="見出し 4 2" xfId="84" xr:uid="{00000000-0005-0000-0000-00004D000000}"/>
    <cellStyle name="集計" xfId="42" builtinId="25" customBuiltin="1"/>
    <cellStyle name="集計 2" xfId="85" xr:uid="{00000000-0005-0000-0000-00004F000000}"/>
    <cellStyle name="出力" xfId="43" builtinId="21" customBuiltin="1"/>
    <cellStyle name="出力 2" xfId="86" xr:uid="{00000000-0005-0000-0000-000051000000}"/>
    <cellStyle name="説明文" xfId="44" builtinId="53" customBuiltin="1"/>
    <cellStyle name="説明文 2" xfId="87" xr:uid="{00000000-0005-0000-0000-000053000000}"/>
    <cellStyle name="入力" xfId="45" builtinId="20" customBuiltin="1"/>
    <cellStyle name="入力 2" xfId="88" xr:uid="{00000000-0005-0000-0000-000055000000}"/>
    <cellStyle name="標準" xfId="0" builtinId="0"/>
    <cellStyle name="標準 2" xfId="47" xr:uid="{00000000-0005-0000-0000-000057000000}"/>
    <cellStyle name="標準 2 2" xfId="48" xr:uid="{00000000-0005-0000-0000-000058000000}"/>
    <cellStyle name="標準 2 4" xfId="92" xr:uid="{00000000-0005-0000-0000-000059000000}"/>
    <cellStyle name="標準 3" xfId="91" xr:uid="{00000000-0005-0000-0000-00005A000000}"/>
    <cellStyle name="標準_【全銀Ｍ伝検討】Ｍ伝サーバ化検討スケジュール(2007.01.15)" xfId="90" xr:uid="{00000000-0005-0000-0000-00005B000000}"/>
    <cellStyle name="良い" xfId="46" builtinId="26" customBuiltin="1"/>
    <cellStyle name="良い 2" xfId="89" xr:uid="{00000000-0005-0000-0000-00005D000000}"/>
  </cellStyles>
  <dxfs count="19">
    <dxf>
      <border>
        <left style="thin">
          <color rgb="FFFF0000"/>
        </left>
        <right style="thin">
          <color rgb="FFFF0000"/>
        </right>
        <vertical/>
        <horizontal/>
      </border>
    </dxf>
    <dxf>
      <fill>
        <patternFill patternType="gray125">
          <fgColor indexed="64"/>
          <bgColor indexed="65"/>
        </patternFill>
      </fill>
    </dxf>
    <dxf>
      <border>
        <left style="hair">
          <color auto="1"/>
        </left>
      </border>
    </dxf>
    <dxf>
      <border>
        <left style="thin">
          <color auto="1"/>
        </left>
      </border>
    </dxf>
    <dxf>
      <fill>
        <patternFill patternType="mediumGray">
          <fgColor rgb="FF00FF00"/>
          <bgColor indexed="65"/>
        </patternFill>
      </fill>
    </dxf>
    <dxf>
      <border>
        <bottom style="thin">
          <color rgb="FFFF0000"/>
        </bottom>
      </border>
    </dxf>
    <dxf>
      <fill>
        <patternFill patternType="gray125">
          <fgColor indexed="64"/>
          <bgColor indexed="65"/>
        </patternFill>
      </fill>
    </dxf>
    <dxf>
      <border>
        <left style="hair">
          <color auto="1"/>
        </left>
      </border>
    </dxf>
    <dxf>
      <border>
        <left style="thin">
          <color auto="1"/>
        </left>
      </border>
    </dxf>
    <dxf>
      <fill>
        <patternFill patternType="mediumGray">
          <fgColor rgb="FF00FF00"/>
          <bgColor indexed="65"/>
        </patternFill>
      </fill>
    </dxf>
    <dxf>
      <border>
        <bottom style="thin">
          <color rgb="FFFF0000"/>
        </bottom>
      </border>
    </dxf>
    <dxf>
      <fill>
        <patternFill patternType="mediumGray">
          <fgColor rgb="FF66FF33"/>
          <bgColor rgb="FF00FF00"/>
        </patternFill>
      </fill>
    </dxf>
    <dxf>
      <border>
        <left style="thin">
          <color auto="1"/>
        </left>
      </border>
    </dxf>
    <dxf>
      <border>
        <left style="hair">
          <color auto="1"/>
        </left>
      </border>
    </dxf>
    <dxf>
      <border>
        <left style="hair">
          <color auto="1"/>
        </left>
      </border>
    </dxf>
    <dxf>
      <border>
        <left style="hair">
          <color auto="1"/>
        </left>
      </border>
    </dxf>
    <dxf>
      <fill>
        <patternFill patternType="mediumGray">
          <fgColor rgb="FF66FF33"/>
          <bgColor rgb="FF00FF00"/>
        </patternFill>
      </fill>
    </dxf>
    <dxf>
      <border>
        <left style="hair">
          <color auto="1"/>
        </left>
      </border>
    </dxf>
    <dxf>
      <border>
        <left style="hair">
          <color auto="1"/>
        </left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172144"/>
      <color rgb="FF26A86D"/>
      <color rgb="FFFFFF99"/>
      <color rgb="FF00FF00"/>
      <color rgb="FF66FF33"/>
      <color rgb="FF0000FF"/>
      <color rgb="FFFF00FF"/>
      <color rgb="FFF31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585106</xdr:colOff>
      <xdr:row>10</xdr:row>
      <xdr:rowOff>-1</xdr:rowOff>
    </xdr:from>
    <xdr:to>
      <xdr:col>29</xdr:col>
      <xdr:colOff>585106</xdr:colOff>
      <xdr:row>21</xdr:row>
      <xdr:rowOff>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3539106" y="2354035"/>
          <a:ext cx="4680857" cy="2544536"/>
        </a:xfrm>
        <a:prstGeom prst="round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kumimoji="1" lang="ja-JP" altLang="en-US" sz="1400"/>
            <a:t>稲妻線描画ボタンを押下してください。</a:t>
          </a:r>
        </a:p>
      </xdr:txBody>
    </xdr:sp>
    <xdr:clientData/>
  </xdr:twoCellAnchor>
  <xdr:twoCellAnchor editAs="oneCell">
    <xdr:from>
      <xdr:col>22</xdr:col>
      <xdr:colOff>0</xdr:colOff>
      <xdr:row>12</xdr:row>
      <xdr:rowOff>231320</xdr:rowOff>
    </xdr:from>
    <xdr:to>
      <xdr:col>30</xdr:col>
      <xdr:colOff>0</xdr:colOff>
      <xdr:row>19</xdr:row>
      <xdr:rowOff>-1</xdr:rowOff>
    </xdr:to>
    <xdr:pic>
      <xdr:nvPicPr>
        <xdr:cNvPr id="7" name="Picture 1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539107" y="3047999"/>
          <a:ext cx="4680857" cy="1387929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10</xdr:row>
      <xdr:rowOff>-1</xdr:rowOff>
    </xdr:from>
    <xdr:to>
      <xdr:col>29</xdr:col>
      <xdr:colOff>0</xdr:colOff>
      <xdr:row>21</xdr:row>
      <xdr:rowOff>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3506450" y="2343149"/>
          <a:ext cx="4067175" cy="2514601"/>
        </a:xfrm>
        <a:prstGeom prst="round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kumimoji="1" lang="ja-JP" altLang="en-US" sz="1400"/>
            <a:t>稲妻線描画ボタンを押下してください。</a:t>
          </a:r>
        </a:p>
      </xdr:txBody>
    </xdr:sp>
    <xdr:clientData/>
  </xdr:twoCellAnchor>
  <xdr:twoCellAnchor editAs="oneCell">
    <xdr:from>
      <xdr:col>22</xdr:col>
      <xdr:colOff>0</xdr:colOff>
      <xdr:row>13</xdr:row>
      <xdr:rowOff>231320</xdr:rowOff>
    </xdr:from>
    <xdr:to>
      <xdr:col>29</xdr:col>
      <xdr:colOff>0</xdr:colOff>
      <xdr:row>19</xdr:row>
      <xdr:rowOff>231320</xdr:rowOff>
    </xdr:to>
    <xdr:pic>
      <xdr:nvPicPr>
        <xdr:cNvPr id="7" name="Picture 3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621000" y="3279320"/>
          <a:ext cx="5715000" cy="1387929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8</xdr:row>
      <xdr:rowOff>0</xdr:rowOff>
    </xdr:to>
    <xdr:sp macro="[0]!CreateHolidayTable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628900" y="1200150"/>
          <a:ext cx="2628900" cy="4000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休日テーブル作成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963yo/Desktop/Simple%20Excel%20Gantt%20Char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Simple Gantt Chart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marL="0" indent="0" algn="l">
          <a:defRPr kumimoji="1" sz="1100">
            <a:solidFill>
              <a:schemeClr val="lt1"/>
            </a:solidFill>
            <a:latin typeface="+mn-lt"/>
            <a:ea typeface="+mn-ea"/>
            <a:cs typeface="+mn-cs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I60"/>
  <sheetViews>
    <sheetView showGridLines="0" tabSelected="1" zoomScale="85" zoomScaleNormal="85" zoomScaleSheetLayoutView="70" workbookViewId="0">
      <pane xSplit="2" ySplit="10" topLeftCell="C28" activePane="bottomRight" state="frozen"/>
      <selection pane="topRight" activeCell="C1" sqref="C1"/>
      <selection pane="bottomLeft" activeCell="A5" sqref="A5"/>
      <selection pane="bottomRight" activeCell="AC45" sqref="AC45"/>
    </sheetView>
  </sheetViews>
  <sheetFormatPr defaultRowHeight="18.75" x14ac:dyDescent="0.4"/>
  <cols>
    <col min="1" max="1" width="3.875" style="107" bestFit="1" customWidth="1"/>
    <col min="2" max="2" width="5.125" style="103" bestFit="1" customWidth="1"/>
    <col min="3" max="3" width="10.125" style="103" bestFit="1" customWidth="1"/>
    <col min="4" max="5" width="9.875" style="103" bestFit="1" customWidth="1"/>
    <col min="6" max="6" width="17" style="103" hidden="1" customWidth="1"/>
    <col min="7" max="9" width="9.375" style="103" customWidth="1"/>
    <col min="10" max="13" width="8.625" style="103" customWidth="1"/>
    <col min="14" max="21" width="3.625" style="103" customWidth="1"/>
    <col min="22" max="104" width="3.625" style="102" customWidth="1"/>
    <col min="105" max="16384" width="9" style="103"/>
  </cols>
  <sheetData>
    <row r="1" spans="1:113" x14ac:dyDescent="0.4">
      <c r="A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103"/>
      <c r="BY1" s="103"/>
      <c r="BZ1" s="103"/>
      <c r="CA1" s="103"/>
      <c r="CB1" s="103"/>
      <c r="CC1" s="103"/>
      <c r="CD1" s="103"/>
      <c r="CE1" s="103"/>
      <c r="CF1" s="103"/>
      <c r="CG1" s="103"/>
      <c r="CH1" s="103"/>
      <c r="CI1" s="103"/>
      <c r="CJ1" s="103"/>
      <c r="CK1" s="103"/>
      <c r="CL1" s="103"/>
      <c r="CM1" s="103"/>
      <c r="CN1" s="103"/>
      <c r="CO1" s="103"/>
      <c r="CP1" s="103"/>
      <c r="CQ1" s="103"/>
      <c r="CR1" s="103"/>
      <c r="CS1" s="103"/>
      <c r="CT1" s="103"/>
      <c r="CU1" s="103"/>
      <c r="CV1" s="103"/>
      <c r="CW1" s="103"/>
      <c r="CX1" s="103"/>
      <c r="CY1" s="103"/>
      <c r="CZ1" s="103"/>
    </row>
    <row r="2" spans="1:113" ht="30" x14ac:dyDescent="0.6">
      <c r="A2" s="103"/>
      <c r="B2" s="104" t="s">
        <v>116</v>
      </c>
      <c r="E2" s="115" t="s">
        <v>117</v>
      </c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  <c r="BM2" s="103"/>
      <c r="BN2" s="103"/>
      <c r="BO2" s="103"/>
      <c r="BP2" s="103"/>
      <c r="BQ2" s="103"/>
      <c r="BR2" s="103"/>
      <c r="BS2" s="103"/>
      <c r="BT2" s="103"/>
      <c r="BU2" s="103"/>
      <c r="BV2" s="103"/>
      <c r="BW2" s="103"/>
      <c r="BX2" s="103"/>
      <c r="BY2" s="103"/>
      <c r="BZ2" s="103"/>
      <c r="CA2" s="103"/>
      <c r="CB2" s="103"/>
      <c r="CC2" s="103"/>
      <c r="CD2" s="103"/>
      <c r="CE2" s="103"/>
      <c r="CF2" s="103"/>
      <c r="CG2" s="103"/>
      <c r="CH2" s="103"/>
      <c r="CI2" s="103"/>
      <c r="CJ2" s="103"/>
      <c r="CK2" s="103"/>
      <c r="CL2" s="103"/>
      <c r="CM2" s="103"/>
      <c r="CN2" s="103"/>
      <c r="CO2" s="103"/>
      <c r="CP2" s="103"/>
      <c r="CQ2" s="103"/>
      <c r="CR2" s="103"/>
      <c r="CS2" s="103"/>
      <c r="CT2" s="103"/>
      <c r="CU2" s="103"/>
      <c r="CV2" s="103"/>
      <c r="CW2" s="103"/>
      <c r="CX2" s="103"/>
      <c r="CY2" s="103"/>
      <c r="CZ2" s="103"/>
    </row>
    <row r="3" spans="1:113" ht="25.5" x14ac:dyDescent="0.5">
      <c r="A3" s="103"/>
      <c r="B3" s="113"/>
      <c r="E3" s="116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  <c r="BM3" s="103"/>
      <c r="BN3" s="103"/>
      <c r="BO3" s="103"/>
      <c r="BP3" s="103"/>
      <c r="BQ3" s="103"/>
      <c r="BR3" s="103"/>
      <c r="BS3" s="103"/>
      <c r="BT3" s="103"/>
      <c r="BU3" s="103"/>
      <c r="BV3" s="103"/>
      <c r="BW3" s="103"/>
      <c r="BX3" s="103"/>
      <c r="BY3" s="103"/>
      <c r="BZ3" s="103"/>
      <c r="CA3" s="103"/>
      <c r="CB3" s="103"/>
      <c r="CC3" s="103"/>
      <c r="CD3" s="103"/>
      <c r="CE3" s="103"/>
      <c r="CF3" s="103"/>
      <c r="CG3" s="103"/>
      <c r="CH3" s="103"/>
      <c r="CI3" s="103"/>
      <c r="CJ3" s="103"/>
      <c r="CK3" s="103"/>
      <c r="CL3" s="103"/>
      <c r="CM3" s="103"/>
      <c r="CN3" s="103"/>
      <c r="CO3" s="103"/>
      <c r="CP3" s="103"/>
      <c r="CQ3" s="103"/>
      <c r="CR3" s="103"/>
      <c r="CS3" s="103"/>
      <c r="CT3" s="103"/>
      <c r="CU3" s="103"/>
      <c r="CV3" s="103"/>
      <c r="CW3" s="103"/>
      <c r="CX3" s="103"/>
      <c r="CY3" s="103"/>
      <c r="CZ3" s="103"/>
    </row>
    <row r="4" spans="1:113" ht="19.5" x14ac:dyDescent="0.4">
      <c r="A4" s="103"/>
      <c r="B4" s="114" t="s">
        <v>118</v>
      </c>
      <c r="E4" s="117" t="s">
        <v>117</v>
      </c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  <c r="BM4" s="103"/>
      <c r="BN4" s="103"/>
      <c r="BO4" s="103"/>
      <c r="BP4" s="103"/>
      <c r="BQ4" s="103"/>
      <c r="BR4" s="103"/>
      <c r="BS4" s="103"/>
      <c r="BT4" s="103"/>
      <c r="BU4" s="103"/>
      <c r="BV4" s="103"/>
      <c r="BW4" s="103"/>
      <c r="BX4" s="103"/>
      <c r="BY4" s="103"/>
      <c r="BZ4" s="103"/>
      <c r="CA4" s="103"/>
      <c r="CB4" s="103"/>
      <c r="CC4" s="103"/>
      <c r="CD4" s="103"/>
      <c r="CE4" s="103"/>
      <c r="CF4" s="103"/>
      <c r="CG4" s="103"/>
      <c r="CH4" s="103"/>
      <c r="CI4" s="103"/>
      <c r="CJ4" s="103"/>
      <c r="CK4" s="103"/>
      <c r="CL4" s="103"/>
      <c r="CM4" s="103"/>
      <c r="CN4" s="103"/>
      <c r="CO4" s="103"/>
      <c r="CP4" s="103"/>
      <c r="CQ4" s="103"/>
      <c r="CR4" s="103"/>
      <c r="CS4" s="103"/>
      <c r="CT4" s="103"/>
      <c r="CU4" s="103"/>
      <c r="CV4" s="103"/>
      <c r="CW4" s="103"/>
      <c r="CX4" s="103"/>
      <c r="CY4" s="103"/>
      <c r="CZ4" s="103"/>
    </row>
    <row r="5" spans="1:113" ht="21" customHeight="1" x14ac:dyDescent="0.4">
      <c r="A5" s="103"/>
      <c r="B5" s="114" t="s">
        <v>119</v>
      </c>
      <c r="C5" s="106"/>
      <c r="E5" s="117" t="s">
        <v>117</v>
      </c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3"/>
      <c r="BN5" s="103"/>
      <c r="BO5" s="103"/>
      <c r="BP5" s="103"/>
      <c r="BQ5" s="103"/>
      <c r="BR5" s="103"/>
      <c r="BS5" s="103"/>
      <c r="BT5" s="103"/>
      <c r="BU5" s="103"/>
      <c r="BV5" s="103"/>
      <c r="BW5" s="103"/>
      <c r="BX5" s="103"/>
      <c r="BY5" s="103"/>
      <c r="BZ5" s="103"/>
      <c r="CA5" s="103"/>
      <c r="CB5" s="103"/>
      <c r="CC5" s="103"/>
      <c r="CD5" s="103"/>
      <c r="CE5" s="103"/>
      <c r="CF5" s="103"/>
      <c r="CG5" s="103"/>
      <c r="CH5" s="103"/>
      <c r="CI5" s="103"/>
      <c r="CJ5" s="103"/>
      <c r="CK5" s="103"/>
      <c r="CL5" s="103"/>
      <c r="CM5" s="103"/>
      <c r="CN5" s="103"/>
      <c r="CO5" s="103"/>
      <c r="CP5" s="103"/>
      <c r="CQ5" s="103"/>
      <c r="CR5" s="103"/>
      <c r="CS5" s="103"/>
      <c r="CT5" s="103"/>
      <c r="CU5" s="103"/>
      <c r="CV5" s="103"/>
      <c r="CW5" s="103"/>
      <c r="CX5" s="103"/>
      <c r="CY5" s="103"/>
      <c r="CZ5" s="103"/>
    </row>
    <row r="6" spans="1:113" ht="21" customHeight="1" x14ac:dyDescent="0.4">
      <c r="A6" s="103"/>
      <c r="B6" s="114" t="s">
        <v>120</v>
      </c>
      <c r="C6" s="106"/>
      <c r="E6" s="117" t="s">
        <v>117</v>
      </c>
      <c r="V6" s="103"/>
      <c r="W6" s="103"/>
      <c r="X6" s="103"/>
      <c r="Y6" s="103"/>
      <c r="Z6" s="103"/>
      <c r="AA6" s="103"/>
      <c r="AB6" s="103"/>
      <c r="AC6" s="103"/>
      <c r="AD6" s="103"/>
      <c r="AE6" s="103"/>
      <c r="AF6" s="103"/>
      <c r="AG6" s="103"/>
      <c r="AH6" s="103"/>
      <c r="AI6" s="103"/>
      <c r="AJ6" s="103"/>
      <c r="AK6" s="103"/>
      <c r="AL6" s="103"/>
      <c r="AM6" s="103"/>
      <c r="AN6" s="103"/>
      <c r="AO6" s="103"/>
      <c r="AP6" s="103"/>
      <c r="AQ6" s="103"/>
      <c r="AR6" s="103"/>
      <c r="AS6" s="103"/>
      <c r="AT6" s="103"/>
      <c r="AU6" s="103"/>
      <c r="AV6" s="103"/>
      <c r="AW6" s="103"/>
      <c r="AX6" s="103"/>
      <c r="AY6" s="103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  <c r="BM6" s="103"/>
      <c r="BN6" s="103"/>
      <c r="BO6" s="103"/>
      <c r="BP6" s="103"/>
      <c r="BQ6" s="103"/>
      <c r="BR6" s="103"/>
      <c r="BS6" s="103"/>
      <c r="BT6" s="103"/>
      <c r="BU6" s="103"/>
      <c r="BV6" s="103"/>
      <c r="BW6" s="103"/>
      <c r="BX6" s="103"/>
      <c r="BY6" s="103"/>
      <c r="BZ6" s="103"/>
      <c r="CA6" s="103"/>
      <c r="CB6" s="103"/>
      <c r="CC6" s="103"/>
      <c r="CD6" s="103"/>
      <c r="CE6" s="103"/>
      <c r="CF6" s="103"/>
      <c r="CG6" s="103"/>
      <c r="CH6" s="103"/>
      <c r="CI6" s="103"/>
      <c r="CJ6" s="103"/>
      <c r="CK6" s="103"/>
      <c r="CL6" s="103"/>
      <c r="CM6" s="103"/>
      <c r="CN6" s="103"/>
      <c r="CO6" s="103"/>
      <c r="CP6" s="103"/>
      <c r="CQ6" s="103"/>
      <c r="CR6" s="103"/>
      <c r="CS6" s="103"/>
      <c r="CT6" s="103"/>
      <c r="CU6" s="103"/>
      <c r="CV6" s="103"/>
      <c r="CW6" s="103"/>
      <c r="CX6" s="103"/>
      <c r="CY6" s="103"/>
      <c r="CZ6" s="103"/>
    </row>
    <row r="7" spans="1:113" ht="21" customHeight="1" x14ac:dyDescent="0.4">
      <c r="A7" s="103"/>
      <c r="B7" s="105"/>
      <c r="C7" s="106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  <c r="BM7" s="103"/>
      <c r="BN7" s="103"/>
      <c r="BO7" s="103"/>
      <c r="BP7" s="103"/>
      <c r="BQ7" s="103"/>
      <c r="BR7" s="103"/>
      <c r="BS7" s="103"/>
      <c r="BT7" s="103"/>
      <c r="BU7" s="103"/>
      <c r="BV7" s="103"/>
      <c r="BW7" s="103"/>
      <c r="BX7" s="103"/>
      <c r="BY7" s="103"/>
      <c r="BZ7" s="103"/>
      <c r="CA7" s="103"/>
      <c r="CB7" s="103"/>
      <c r="CC7" s="103"/>
      <c r="CD7" s="103"/>
      <c r="CE7" s="103"/>
      <c r="CF7" s="103"/>
      <c r="CG7" s="103"/>
      <c r="CH7" s="103"/>
      <c r="CI7" s="103"/>
      <c r="CJ7" s="103"/>
      <c r="CK7" s="103"/>
      <c r="CL7" s="103"/>
      <c r="CM7" s="103"/>
      <c r="CN7" s="103"/>
      <c r="CO7" s="103"/>
      <c r="CP7" s="103"/>
      <c r="CQ7" s="103"/>
      <c r="CR7" s="103"/>
      <c r="CS7" s="103"/>
      <c r="CT7" s="103"/>
      <c r="CU7" s="103"/>
      <c r="CV7" s="103"/>
      <c r="CW7" s="103"/>
      <c r="CX7" s="103"/>
      <c r="CY7" s="103"/>
      <c r="CZ7" s="103"/>
    </row>
    <row r="8" spans="1:113" ht="25.5" customHeight="1" x14ac:dyDescent="0.4">
      <c r="B8" s="110" t="s">
        <v>64</v>
      </c>
      <c r="C8" s="111" t="s">
        <v>103</v>
      </c>
      <c r="D8" s="111"/>
      <c r="E8" s="111"/>
      <c r="F8" s="112" t="s">
        <v>108</v>
      </c>
      <c r="G8" s="111" t="s">
        <v>110</v>
      </c>
      <c r="H8" s="111"/>
      <c r="I8" s="111"/>
      <c r="J8" s="112" t="s">
        <v>109</v>
      </c>
      <c r="K8" s="112"/>
      <c r="L8" s="112"/>
      <c r="M8" s="112"/>
      <c r="N8" s="108">
        <f ca="1">N9</f>
        <v>44255</v>
      </c>
      <c r="O8" s="108">
        <f ca="1">IF(DAY(O9)=1,O9,IF(DAY(O9)=2,"月",""))</f>
        <v>44256</v>
      </c>
      <c r="P8" s="108" t="str">
        <f t="shared" ref="P8:CA8" ca="1" si="0">IF(DAY(P9)=1,P9,IF(DAY(P9)=2,"月",""))</f>
        <v>月</v>
      </c>
      <c r="Q8" s="108" t="str">
        <f t="shared" ca="1" si="0"/>
        <v/>
      </c>
      <c r="R8" s="108" t="str">
        <f t="shared" ca="1" si="0"/>
        <v/>
      </c>
      <c r="S8" s="108" t="str">
        <f t="shared" ca="1" si="0"/>
        <v/>
      </c>
      <c r="T8" s="108" t="str">
        <f t="shared" ca="1" si="0"/>
        <v/>
      </c>
      <c r="U8" s="108" t="str">
        <f t="shared" ca="1" si="0"/>
        <v/>
      </c>
      <c r="V8" s="108" t="str">
        <f t="shared" ca="1" si="0"/>
        <v/>
      </c>
      <c r="W8" s="108" t="str">
        <f t="shared" ca="1" si="0"/>
        <v/>
      </c>
      <c r="X8" s="108" t="str">
        <f t="shared" ca="1" si="0"/>
        <v/>
      </c>
      <c r="Y8" s="108" t="str">
        <f t="shared" ca="1" si="0"/>
        <v/>
      </c>
      <c r="Z8" s="108" t="str">
        <f t="shared" ca="1" si="0"/>
        <v/>
      </c>
      <c r="AA8" s="108" t="str">
        <f t="shared" ca="1" si="0"/>
        <v/>
      </c>
      <c r="AB8" s="108" t="str">
        <f t="shared" ca="1" si="0"/>
        <v/>
      </c>
      <c r="AC8" s="108" t="str">
        <f t="shared" ca="1" si="0"/>
        <v/>
      </c>
      <c r="AD8" s="108" t="str">
        <f t="shared" ca="1" si="0"/>
        <v/>
      </c>
      <c r="AE8" s="108" t="str">
        <f t="shared" ca="1" si="0"/>
        <v/>
      </c>
      <c r="AF8" s="108" t="str">
        <f t="shared" ca="1" si="0"/>
        <v/>
      </c>
      <c r="AG8" s="108" t="str">
        <f t="shared" ca="1" si="0"/>
        <v/>
      </c>
      <c r="AH8" s="108" t="str">
        <f t="shared" ca="1" si="0"/>
        <v/>
      </c>
      <c r="AI8" s="108" t="str">
        <f t="shared" ca="1" si="0"/>
        <v/>
      </c>
      <c r="AJ8" s="108" t="str">
        <f t="shared" ca="1" si="0"/>
        <v/>
      </c>
      <c r="AK8" s="108" t="str">
        <f t="shared" ca="1" si="0"/>
        <v/>
      </c>
      <c r="AL8" s="108" t="str">
        <f t="shared" ca="1" si="0"/>
        <v/>
      </c>
      <c r="AM8" s="108" t="str">
        <f t="shared" ca="1" si="0"/>
        <v/>
      </c>
      <c r="AN8" s="108" t="str">
        <f t="shared" ca="1" si="0"/>
        <v/>
      </c>
      <c r="AO8" s="108" t="str">
        <f t="shared" ca="1" si="0"/>
        <v/>
      </c>
      <c r="AP8" s="108" t="str">
        <f t="shared" ca="1" si="0"/>
        <v/>
      </c>
      <c r="AQ8" s="108" t="str">
        <f t="shared" ca="1" si="0"/>
        <v/>
      </c>
      <c r="AR8" s="108" t="str">
        <f t="shared" ca="1" si="0"/>
        <v/>
      </c>
      <c r="AS8" s="108" t="str">
        <f t="shared" ca="1" si="0"/>
        <v/>
      </c>
      <c r="AT8" s="108">
        <f t="shared" ca="1" si="0"/>
        <v>44287</v>
      </c>
      <c r="AU8" s="108" t="str">
        <f t="shared" ca="1" si="0"/>
        <v>月</v>
      </c>
      <c r="AV8" s="108" t="str">
        <f t="shared" ca="1" si="0"/>
        <v/>
      </c>
      <c r="AW8" s="108" t="str">
        <f t="shared" ca="1" si="0"/>
        <v/>
      </c>
      <c r="AX8" s="108" t="str">
        <f t="shared" ca="1" si="0"/>
        <v/>
      </c>
      <c r="AY8" s="108" t="str">
        <f t="shared" ca="1" si="0"/>
        <v/>
      </c>
      <c r="AZ8" s="108" t="str">
        <f t="shared" ca="1" si="0"/>
        <v/>
      </c>
      <c r="BA8" s="108" t="str">
        <f t="shared" ca="1" si="0"/>
        <v/>
      </c>
      <c r="BB8" s="108" t="str">
        <f t="shared" ca="1" si="0"/>
        <v/>
      </c>
      <c r="BC8" s="108" t="str">
        <f t="shared" ca="1" si="0"/>
        <v/>
      </c>
      <c r="BD8" s="108" t="str">
        <f t="shared" ca="1" si="0"/>
        <v/>
      </c>
      <c r="BE8" s="108" t="str">
        <f t="shared" ca="1" si="0"/>
        <v/>
      </c>
      <c r="BF8" s="108" t="str">
        <f t="shared" ca="1" si="0"/>
        <v/>
      </c>
      <c r="BG8" s="108" t="str">
        <f t="shared" ca="1" si="0"/>
        <v/>
      </c>
      <c r="BH8" s="108" t="str">
        <f t="shared" ca="1" si="0"/>
        <v/>
      </c>
      <c r="BI8" s="108" t="str">
        <f t="shared" ca="1" si="0"/>
        <v/>
      </c>
      <c r="BJ8" s="108" t="str">
        <f t="shared" ca="1" si="0"/>
        <v/>
      </c>
      <c r="BK8" s="108" t="str">
        <f t="shared" ca="1" si="0"/>
        <v/>
      </c>
      <c r="BL8" s="108" t="str">
        <f t="shared" ca="1" si="0"/>
        <v/>
      </c>
      <c r="BM8" s="108" t="str">
        <f t="shared" ca="1" si="0"/>
        <v/>
      </c>
      <c r="BN8" s="108" t="str">
        <f t="shared" ca="1" si="0"/>
        <v/>
      </c>
      <c r="BO8" s="108" t="str">
        <f t="shared" ca="1" si="0"/>
        <v/>
      </c>
      <c r="BP8" s="108" t="str">
        <f t="shared" ca="1" si="0"/>
        <v/>
      </c>
      <c r="BQ8" s="108" t="str">
        <f t="shared" ca="1" si="0"/>
        <v/>
      </c>
      <c r="BR8" s="108" t="str">
        <f t="shared" ca="1" si="0"/>
        <v/>
      </c>
      <c r="BS8" s="108" t="str">
        <f t="shared" ca="1" si="0"/>
        <v/>
      </c>
      <c r="BT8" s="108" t="str">
        <f t="shared" ca="1" si="0"/>
        <v/>
      </c>
      <c r="BU8" s="108" t="str">
        <f t="shared" ca="1" si="0"/>
        <v/>
      </c>
      <c r="BV8" s="108" t="str">
        <f t="shared" ca="1" si="0"/>
        <v/>
      </c>
      <c r="BW8" s="108" t="str">
        <f t="shared" ca="1" si="0"/>
        <v/>
      </c>
      <c r="BX8" s="108">
        <f t="shared" ca="1" si="0"/>
        <v>44317</v>
      </c>
      <c r="BY8" s="108" t="str">
        <f t="shared" ca="1" si="0"/>
        <v>月</v>
      </c>
      <c r="BZ8" s="108" t="str">
        <f t="shared" ca="1" si="0"/>
        <v/>
      </c>
      <c r="CA8" s="108" t="str">
        <f t="shared" ca="1" si="0"/>
        <v/>
      </c>
      <c r="CB8" s="108" t="str">
        <f t="shared" ref="CB8:CZ8" ca="1" si="1">IF(DAY(CB9)=1,CB9,IF(DAY(CB9)=2,"月",""))</f>
        <v/>
      </c>
      <c r="CC8" s="108" t="str">
        <f t="shared" ca="1" si="1"/>
        <v/>
      </c>
      <c r="CD8" s="108" t="str">
        <f t="shared" ca="1" si="1"/>
        <v/>
      </c>
      <c r="CE8" s="108" t="str">
        <f t="shared" ca="1" si="1"/>
        <v/>
      </c>
      <c r="CF8" s="108" t="str">
        <f t="shared" ca="1" si="1"/>
        <v/>
      </c>
      <c r="CG8" s="108" t="str">
        <f t="shared" ca="1" si="1"/>
        <v/>
      </c>
      <c r="CH8" s="108" t="str">
        <f t="shared" ca="1" si="1"/>
        <v/>
      </c>
      <c r="CI8" s="108" t="str">
        <f t="shared" ca="1" si="1"/>
        <v/>
      </c>
      <c r="CJ8" s="108" t="str">
        <f t="shared" ca="1" si="1"/>
        <v/>
      </c>
      <c r="CK8" s="108" t="str">
        <f t="shared" ca="1" si="1"/>
        <v/>
      </c>
      <c r="CL8" s="108" t="str">
        <f t="shared" ca="1" si="1"/>
        <v/>
      </c>
      <c r="CM8" s="108" t="str">
        <f t="shared" ca="1" si="1"/>
        <v/>
      </c>
      <c r="CN8" s="108" t="str">
        <f t="shared" ca="1" si="1"/>
        <v/>
      </c>
      <c r="CO8" s="108" t="str">
        <f t="shared" ca="1" si="1"/>
        <v/>
      </c>
      <c r="CP8" s="108" t="str">
        <f t="shared" ca="1" si="1"/>
        <v/>
      </c>
      <c r="CQ8" s="108" t="str">
        <f t="shared" ca="1" si="1"/>
        <v/>
      </c>
      <c r="CR8" s="108" t="str">
        <f t="shared" ca="1" si="1"/>
        <v/>
      </c>
      <c r="CS8" s="108" t="str">
        <f t="shared" ca="1" si="1"/>
        <v/>
      </c>
      <c r="CT8" s="108" t="str">
        <f t="shared" ca="1" si="1"/>
        <v/>
      </c>
      <c r="CU8" s="108" t="str">
        <f t="shared" ca="1" si="1"/>
        <v/>
      </c>
      <c r="CV8" s="108" t="str">
        <f t="shared" ca="1" si="1"/>
        <v/>
      </c>
      <c r="CW8" s="108" t="str">
        <f t="shared" ca="1" si="1"/>
        <v/>
      </c>
      <c r="CX8" s="108" t="str">
        <f t="shared" ca="1" si="1"/>
        <v/>
      </c>
      <c r="CY8" s="108" t="str">
        <f t="shared" ca="1" si="1"/>
        <v/>
      </c>
      <c r="CZ8" s="108" t="str">
        <f t="shared" ca="1" si="1"/>
        <v/>
      </c>
    </row>
    <row r="9" spans="1:113" ht="17.25" customHeight="1" x14ac:dyDescent="0.4">
      <c r="B9" s="110"/>
      <c r="C9" s="118" t="s">
        <v>111</v>
      </c>
      <c r="D9" s="118" t="s">
        <v>112</v>
      </c>
      <c r="E9" s="118" t="s">
        <v>113</v>
      </c>
      <c r="F9" s="112"/>
      <c r="G9" s="119" t="s">
        <v>114</v>
      </c>
      <c r="H9" s="119" t="s">
        <v>105</v>
      </c>
      <c r="I9" s="119" t="s">
        <v>115</v>
      </c>
      <c r="J9" s="120" t="s">
        <v>104</v>
      </c>
      <c r="K9" s="120"/>
      <c r="L9" s="120" t="s">
        <v>105</v>
      </c>
      <c r="M9" s="120"/>
      <c r="N9" s="109">
        <f ca="1">TODAY()-25</f>
        <v>44255</v>
      </c>
      <c r="O9" s="109">
        <f ca="1">N9+1</f>
        <v>44256</v>
      </c>
      <c r="P9" s="109">
        <f t="shared" ref="P9:CA9" ca="1" si="2">O9+1</f>
        <v>44257</v>
      </c>
      <c r="Q9" s="109">
        <f t="shared" ca="1" si="2"/>
        <v>44258</v>
      </c>
      <c r="R9" s="109">
        <f t="shared" ca="1" si="2"/>
        <v>44259</v>
      </c>
      <c r="S9" s="109">
        <f t="shared" ca="1" si="2"/>
        <v>44260</v>
      </c>
      <c r="T9" s="109">
        <f t="shared" ca="1" si="2"/>
        <v>44261</v>
      </c>
      <c r="U9" s="109">
        <f t="shared" ca="1" si="2"/>
        <v>44262</v>
      </c>
      <c r="V9" s="109">
        <f t="shared" ca="1" si="2"/>
        <v>44263</v>
      </c>
      <c r="W9" s="109">
        <f t="shared" ca="1" si="2"/>
        <v>44264</v>
      </c>
      <c r="X9" s="109">
        <f t="shared" ca="1" si="2"/>
        <v>44265</v>
      </c>
      <c r="Y9" s="109">
        <f t="shared" ca="1" si="2"/>
        <v>44266</v>
      </c>
      <c r="Z9" s="109">
        <f t="shared" ca="1" si="2"/>
        <v>44267</v>
      </c>
      <c r="AA9" s="109">
        <f t="shared" ca="1" si="2"/>
        <v>44268</v>
      </c>
      <c r="AB9" s="109">
        <f t="shared" ca="1" si="2"/>
        <v>44269</v>
      </c>
      <c r="AC9" s="109">
        <f t="shared" ca="1" si="2"/>
        <v>44270</v>
      </c>
      <c r="AD9" s="109">
        <f t="shared" ca="1" si="2"/>
        <v>44271</v>
      </c>
      <c r="AE9" s="109">
        <f t="shared" ca="1" si="2"/>
        <v>44272</v>
      </c>
      <c r="AF9" s="109">
        <f t="shared" ca="1" si="2"/>
        <v>44273</v>
      </c>
      <c r="AG9" s="109">
        <f t="shared" ca="1" si="2"/>
        <v>44274</v>
      </c>
      <c r="AH9" s="109">
        <f t="shared" ca="1" si="2"/>
        <v>44275</v>
      </c>
      <c r="AI9" s="109">
        <f t="shared" ca="1" si="2"/>
        <v>44276</v>
      </c>
      <c r="AJ9" s="109">
        <f t="shared" ca="1" si="2"/>
        <v>44277</v>
      </c>
      <c r="AK9" s="109">
        <f t="shared" ca="1" si="2"/>
        <v>44278</v>
      </c>
      <c r="AL9" s="109">
        <f t="shared" ca="1" si="2"/>
        <v>44279</v>
      </c>
      <c r="AM9" s="109">
        <f t="shared" ca="1" si="2"/>
        <v>44280</v>
      </c>
      <c r="AN9" s="109">
        <f t="shared" ca="1" si="2"/>
        <v>44281</v>
      </c>
      <c r="AO9" s="109">
        <f t="shared" ca="1" si="2"/>
        <v>44282</v>
      </c>
      <c r="AP9" s="109">
        <f t="shared" ca="1" si="2"/>
        <v>44283</v>
      </c>
      <c r="AQ9" s="109">
        <f t="shared" ca="1" si="2"/>
        <v>44284</v>
      </c>
      <c r="AR9" s="109">
        <f t="shared" ca="1" si="2"/>
        <v>44285</v>
      </c>
      <c r="AS9" s="109">
        <f t="shared" ca="1" si="2"/>
        <v>44286</v>
      </c>
      <c r="AT9" s="109">
        <f t="shared" ca="1" si="2"/>
        <v>44287</v>
      </c>
      <c r="AU9" s="109">
        <f t="shared" ca="1" si="2"/>
        <v>44288</v>
      </c>
      <c r="AV9" s="109">
        <f t="shared" ca="1" si="2"/>
        <v>44289</v>
      </c>
      <c r="AW9" s="109">
        <f t="shared" ca="1" si="2"/>
        <v>44290</v>
      </c>
      <c r="AX9" s="109">
        <f t="shared" ca="1" si="2"/>
        <v>44291</v>
      </c>
      <c r="AY9" s="109">
        <f t="shared" ca="1" si="2"/>
        <v>44292</v>
      </c>
      <c r="AZ9" s="109">
        <f t="shared" ca="1" si="2"/>
        <v>44293</v>
      </c>
      <c r="BA9" s="109">
        <f t="shared" ca="1" si="2"/>
        <v>44294</v>
      </c>
      <c r="BB9" s="109">
        <f t="shared" ca="1" si="2"/>
        <v>44295</v>
      </c>
      <c r="BC9" s="109">
        <f t="shared" ca="1" si="2"/>
        <v>44296</v>
      </c>
      <c r="BD9" s="109">
        <f t="shared" ca="1" si="2"/>
        <v>44297</v>
      </c>
      <c r="BE9" s="109">
        <f t="shared" ca="1" si="2"/>
        <v>44298</v>
      </c>
      <c r="BF9" s="109">
        <f t="shared" ca="1" si="2"/>
        <v>44299</v>
      </c>
      <c r="BG9" s="109">
        <f t="shared" ca="1" si="2"/>
        <v>44300</v>
      </c>
      <c r="BH9" s="109">
        <f t="shared" ca="1" si="2"/>
        <v>44301</v>
      </c>
      <c r="BI9" s="109">
        <f t="shared" ca="1" si="2"/>
        <v>44302</v>
      </c>
      <c r="BJ9" s="109">
        <f t="shared" ca="1" si="2"/>
        <v>44303</v>
      </c>
      <c r="BK9" s="109">
        <f t="shared" ca="1" si="2"/>
        <v>44304</v>
      </c>
      <c r="BL9" s="109">
        <f t="shared" ca="1" si="2"/>
        <v>44305</v>
      </c>
      <c r="BM9" s="109">
        <f t="shared" ca="1" si="2"/>
        <v>44306</v>
      </c>
      <c r="BN9" s="109">
        <f t="shared" ca="1" si="2"/>
        <v>44307</v>
      </c>
      <c r="BO9" s="109">
        <f t="shared" ca="1" si="2"/>
        <v>44308</v>
      </c>
      <c r="BP9" s="109">
        <f t="shared" ca="1" si="2"/>
        <v>44309</v>
      </c>
      <c r="BQ9" s="109">
        <f t="shared" ca="1" si="2"/>
        <v>44310</v>
      </c>
      <c r="BR9" s="109">
        <f t="shared" ca="1" si="2"/>
        <v>44311</v>
      </c>
      <c r="BS9" s="109">
        <f t="shared" ca="1" si="2"/>
        <v>44312</v>
      </c>
      <c r="BT9" s="109">
        <f t="shared" ca="1" si="2"/>
        <v>44313</v>
      </c>
      <c r="BU9" s="109">
        <f t="shared" ca="1" si="2"/>
        <v>44314</v>
      </c>
      <c r="BV9" s="109">
        <f t="shared" ca="1" si="2"/>
        <v>44315</v>
      </c>
      <c r="BW9" s="109">
        <f t="shared" ca="1" si="2"/>
        <v>44316</v>
      </c>
      <c r="BX9" s="109">
        <f t="shared" ca="1" si="2"/>
        <v>44317</v>
      </c>
      <c r="BY9" s="109">
        <f t="shared" ca="1" si="2"/>
        <v>44318</v>
      </c>
      <c r="BZ9" s="109">
        <f t="shared" ca="1" si="2"/>
        <v>44319</v>
      </c>
      <c r="CA9" s="109">
        <f t="shared" ca="1" si="2"/>
        <v>44320</v>
      </c>
      <c r="CB9" s="109">
        <f t="shared" ref="CB9:CZ9" ca="1" si="3">CA9+1</f>
        <v>44321</v>
      </c>
      <c r="CC9" s="109">
        <f t="shared" ca="1" si="3"/>
        <v>44322</v>
      </c>
      <c r="CD9" s="109">
        <f t="shared" ca="1" si="3"/>
        <v>44323</v>
      </c>
      <c r="CE9" s="109">
        <f t="shared" ca="1" si="3"/>
        <v>44324</v>
      </c>
      <c r="CF9" s="109">
        <f t="shared" ca="1" si="3"/>
        <v>44325</v>
      </c>
      <c r="CG9" s="109">
        <f t="shared" ca="1" si="3"/>
        <v>44326</v>
      </c>
      <c r="CH9" s="109">
        <f t="shared" ca="1" si="3"/>
        <v>44327</v>
      </c>
      <c r="CI9" s="109">
        <f t="shared" ca="1" si="3"/>
        <v>44328</v>
      </c>
      <c r="CJ9" s="109">
        <f t="shared" ca="1" si="3"/>
        <v>44329</v>
      </c>
      <c r="CK9" s="109">
        <f t="shared" ca="1" si="3"/>
        <v>44330</v>
      </c>
      <c r="CL9" s="109">
        <f t="shared" ca="1" si="3"/>
        <v>44331</v>
      </c>
      <c r="CM9" s="109">
        <f t="shared" ca="1" si="3"/>
        <v>44332</v>
      </c>
      <c r="CN9" s="109">
        <f t="shared" ca="1" si="3"/>
        <v>44333</v>
      </c>
      <c r="CO9" s="109">
        <f t="shared" ca="1" si="3"/>
        <v>44334</v>
      </c>
      <c r="CP9" s="109">
        <f t="shared" ca="1" si="3"/>
        <v>44335</v>
      </c>
      <c r="CQ9" s="109">
        <f t="shared" ca="1" si="3"/>
        <v>44336</v>
      </c>
      <c r="CR9" s="109">
        <f t="shared" ca="1" si="3"/>
        <v>44337</v>
      </c>
      <c r="CS9" s="109">
        <f t="shared" ca="1" si="3"/>
        <v>44338</v>
      </c>
      <c r="CT9" s="109">
        <f t="shared" ca="1" si="3"/>
        <v>44339</v>
      </c>
      <c r="CU9" s="109">
        <f t="shared" ca="1" si="3"/>
        <v>44340</v>
      </c>
      <c r="CV9" s="109">
        <f t="shared" ca="1" si="3"/>
        <v>44341</v>
      </c>
      <c r="CW9" s="109">
        <f t="shared" ca="1" si="3"/>
        <v>44342</v>
      </c>
      <c r="CX9" s="109">
        <f t="shared" ca="1" si="3"/>
        <v>44343</v>
      </c>
      <c r="CY9" s="109">
        <f t="shared" ca="1" si="3"/>
        <v>44344</v>
      </c>
      <c r="CZ9" s="109">
        <f t="shared" ca="1" si="3"/>
        <v>44345</v>
      </c>
    </row>
    <row r="10" spans="1:113" ht="24" customHeight="1" x14ac:dyDescent="0.4">
      <c r="B10" s="110"/>
      <c r="C10" s="118"/>
      <c r="D10" s="118"/>
      <c r="E10" s="118"/>
      <c r="F10" s="112"/>
      <c r="G10" s="119"/>
      <c r="H10" s="119"/>
      <c r="I10" s="119"/>
      <c r="J10" s="121" t="s">
        <v>106</v>
      </c>
      <c r="K10" s="121" t="s">
        <v>107</v>
      </c>
      <c r="L10" s="121" t="s">
        <v>106</v>
      </c>
      <c r="M10" s="121" t="s">
        <v>107</v>
      </c>
      <c r="N10" s="122">
        <f ca="1">N9</f>
        <v>44255</v>
      </c>
      <c r="O10" s="123">
        <f t="shared" ref="O10:BZ10" ca="1" si="4">O9</f>
        <v>44256</v>
      </c>
      <c r="P10" s="123">
        <f t="shared" ca="1" si="4"/>
        <v>44257</v>
      </c>
      <c r="Q10" s="123">
        <f t="shared" ca="1" si="4"/>
        <v>44258</v>
      </c>
      <c r="R10" s="123">
        <f t="shared" ca="1" si="4"/>
        <v>44259</v>
      </c>
      <c r="S10" s="123">
        <f t="shared" ca="1" si="4"/>
        <v>44260</v>
      </c>
      <c r="T10" s="123">
        <f t="shared" ca="1" si="4"/>
        <v>44261</v>
      </c>
      <c r="U10" s="123">
        <f t="shared" ca="1" si="4"/>
        <v>44262</v>
      </c>
      <c r="V10" s="123">
        <f t="shared" ca="1" si="4"/>
        <v>44263</v>
      </c>
      <c r="W10" s="123">
        <f t="shared" ca="1" si="4"/>
        <v>44264</v>
      </c>
      <c r="X10" s="123">
        <f t="shared" ca="1" si="4"/>
        <v>44265</v>
      </c>
      <c r="Y10" s="123">
        <f t="shared" ca="1" si="4"/>
        <v>44266</v>
      </c>
      <c r="Z10" s="123">
        <f t="shared" ca="1" si="4"/>
        <v>44267</v>
      </c>
      <c r="AA10" s="123">
        <f t="shared" ca="1" si="4"/>
        <v>44268</v>
      </c>
      <c r="AB10" s="123">
        <f t="shared" ca="1" si="4"/>
        <v>44269</v>
      </c>
      <c r="AC10" s="123">
        <f t="shared" ca="1" si="4"/>
        <v>44270</v>
      </c>
      <c r="AD10" s="123">
        <f t="shared" ca="1" si="4"/>
        <v>44271</v>
      </c>
      <c r="AE10" s="123">
        <f t="shared" ca="1" si="4"/>
        <v>44272</v>
      </c>
      <c r="AF10" s="123">
        <f t="shared" ca="1" si="4"/>
        <v>44273</v>
      </c>
      <c r="AG10" s="123">
        <f t="shared" ca="1" si="4"/>
        <v>44274</v>
      </c>
      <c r="AH10" s="123">
        <f t="shared" ca="1" si="4"/>
        <v>44275</v>
      </c>
      <c r="AI10" s="123">
        <f t="shared" ca="1" si="4"/>
        <v>44276</v>
      </c>
      <c r="AJ10" s="123">
        <f t="shared" ca="1" si="4"/>
        <v>44277</v>
      </c>
      <c r="AK10" s="123">
        <f t="shared" ca="1" si="4"/>
        <v>44278</v>
      </c>
      <c r="AL10" s="123">
        <f t="shared" ca="1" si="4"/>
        <v>44279</v>
      </c>
      <c r="AM10" s="123">
        <f t="shared" ca="1" si="4"/>
        <v>44280</v>
      </c>
      <c r="AN10" s="123">
        <f t="shared" ca="1" si="4"/>
        <v>44281</v>
      </c>
      <c r="AO10" s="123">
        <f t="shared" ca="1" si="4"/>
        <v>44282</v>
      </c>
      <c r="AP10" s="123">
        <f t="shared" ca="1" si="4"/>
        <v>44283</v>
      </c>
      <c r="AQ10" s="123">
        <f t="shared" ca="1" si="4"/>
        <v>44284</v>
      </c>
      <c r="AR10" s="123">
        <f t="shared" ca="1" si="4"/>
        <v>44285</v>
      </c>
      <c r="AS10" s="123">
        <f t="shared" ca="1" si="4"/>
        <v>44286</v>
      </c>
      <c r="AT10" s="123">
        <f t="shared" ca="1" si="4"/>
        <v>44287</v>
      </c>
      <c r="AU10" s="123">
        <f t="shared" ca="1" si="4"/>
        <v>44288</v>
      </c>
      <c r="AV10" s="123">
        <f t="shared" ca="1" si="4"/>
        <v>44289</v>
      </c>
      <c r="AW10" s="123">
        <f t="shared" ca="1" si="4"/>
        <v>44290</v>
      </c>
      <c r="AX10" s="123">
        <f t="shared" ca="1" si="4"/>
        <v>44291</v>
      </c>
      <c r="AY10" s="123">
        <f t="shared" ca="1" si="4"/>
        <v>44292</v>
      </c>
      <c r="AZ10" s="123">
        <f t="shared" ca="1" si="4"/>
        <v>44293</v>
      </c>
      <c r="BA10" s="123">
        <f t="shared" ca="1" si="4"/>
        <v>44294</v>
      </c>
      <c r="BB10" s="123">
        <f t="shared" ca="1" si="4"/>
        <v>44295</v>
      </c>
      <c r="BC10" s="123">
        <f t="shared" ca="1" si="4"/>
        <v>44296</v>
      </c>
      <c r="BD10" s="123">
        <f t="shared" ca="1" si="4"/>
        <v>44297</v>
      </c>
      <c r="BE10" s="123">
        <f t="shared" ca="1" si="4"/>
        <v>44298</v>
      </c>
      <c r="BF10" s="123">
        <f t="shared" ca="1" si="4"/>
        <v>44299</v>
      </c>
      <c r="BG10" s="123">
        <f t="shared" ca="1" si="4"/>
        <v>44300</v>
      </c>
      <c r="BH10" s="123">
        <f t="shared" ca="1" si="4"/>
        <v>44301</v>
      </c>
      <c r="BI10" s="123">
        <f t="shared" ca="1" si="4"/>
        <v>44302</v>
      </c>
      <c r="BJ10" s="123">
        <f t="shared" ca="1" si="4"/>
        <v>44303</v>
      </c>
      <c r="BK10" s="123">
        <f t="shared" ca="1" si="4"/>
        <v>44304</v>
      </c>
      <c r="BL10" s="123">
        <f t="shared" ca="1" si="4"/>
        <v>44305</v>
      </c>
      <c r="BM10" s="123">
        <f t="shared" ca="1" si="4"/>
        <v>44306</v>
      </c>
      <c r="BN10" s="123">
        <f t="shared" ca="1" si="4"/>
        <v>44307</v>
      </c>
      <c r="BO10" s="123">
        <f t="shared" ca="1" si="4"/>
        <v>44308</v>
      </c>
      <c r="BP10" s="123">
        <f t="shared" ca="1" si="4"/>
        <v>44309</v>
      </c>
      <c r="BQ10" s="123">
        <f t="shared" ca="1" si="4"/>
        <v>44310</v>
      </c>
      <c r="BR10" s="123">
        <f t="shared" ca="1" si="4"/>
        <v>44311</v>
      </c>
      <c r="BS10" s="123">
        <f t="shared" ca="1" si="4"/>
        <v>44312</v>
      </c>
      <c r="BT10" s="123">
        <f t="shared" ca="1" si="4"/>
        <v>44313</v>
      </c>
      <c r="BU10" s="123">
        <f t="shared" ca="1" si="4"/>
        <v>44314</v>
      </c>
      <c r="BV10" s="123">
        <f t="shared" ca="1" si="4"/>
        <v>44315</v>
      </c>
      <c r="BW10" s="123">
        <f t="shared" ca="1" si="4"/>
        <v>44316</v>
      </c>
      <c r="BX10" s="123">
        <f t="shared" ca="1" si="4"/>
        <v>44317</v>
      </c>
      <c r="BY10" s="123">
        <f t="shared" ca="1" si="4"/>
        <v>44318</v>
      </c>
      <c r="BZ10" s="123">
        <f t="shared" ca="1" si="4"/>
        <v>44319</v>
      </c>
      <c r="CA10" s="123">
        <f t="shared" ref="CA10:CZ10" ca="1" si="5">CA9</f>
        <v>44320</v>
      </c>
      <c r="CB10" s="123">
        <f t="shared" ca="1" si="5"/>
        <v>44321</v>
      </c>
      <c r="CC10" s="123">
        <f t="shared" ca="1" si="5"/>
        <v>44322</v>
      </c>
      <c r="CD10" s="123">
        <f t="shared" ca="1" si="5"/>
        <v>44323</v>
      </c>
      <c r="CE10" s="123">
        <f t="shared" ca="1" si="5"/>
        <v>44324</v>
      </c>
      <c r="CF10" s="123">
        <f t="shared" ca="1" si="5"/>
        <v>44325</v>
      </c>
      <c r="CG10" s="123">
        <f t="shared" ca="1" si="5"/>
        <v>44326</v>
      </c>
      <c r="CH10" s="123">
        <f t="shared" ca="1" si="5"/>
        <v>44327</v>
      </c>
      <c r="CI10" s="123">
        <f t="shared" ca="1" si="5"/>
        <v>44328</v>
      </c>
      <c r="CJ10" s="123">
        <f t="shared" ca="1" si="5"/>
        <v>44329</v>
      </c>
      <c r="CK10" s="123">
        <f t="shared" ca="1" si="5"/>
        <v>44330</v>
      </c>
      <c r="CL10" s="123">
        <f t="shared" ca="1" si="5"/>
        <v>44331</v>
      </c>
      <c r="CM10" s="123">
        <f t="shared" ca="1" si="5"/>
        <v>44332</v>
      </c>
      <c r="CN10" s="123">
        <f t="shared" ca="1" si="5"/>
        <v>44333</v>
      </c>
      <c r="CO10" s="123">
        <f t="shared" ca="1" si="5"/>
        <v>44334</v>
      </c>
      <c r="CP10" s="123">
        <f t="shared" ca="1" si="5"/>
        <v>44335</v>
      </c>
      <c r="CQ10" s="123">
        <f t="shared" ca="1" si="5"/>
        <v>44336</v>
      </c>
      <c r="CR10" s="123">
        <f t="shared" ca="1" si="5"/>
        <v>44337</v>
      </c>
      <c r="CS10" s="123">
        <f t="shared" ca="1" si="5"/>
        <v>44338</v>
      </c>
      <c r="CT10" s="123">
        <f t="shared" ca="1" si="5"/>
        <v>44339</v>
      </c>
      <c r="CU10" s="123">
        <f t="shared" ca="1" si="5"/>
        <v>44340</v>
      </c>
      <c r="CV10" s="123">
        <f t="shared" ca="1" si="5"/>
        <v>44341</v>
      </c>
      <c r="CW10" s="123">
        <f t="shared" ca="1" si="5"/>
        <v>44342</v>
      </c>
      <c r="CX10" s="123">
        <f t="shared" ca="1" si="5"/>
        <v>44343</v>
      </c>
      <c r="CY10" s="123">
        <f t="shared" ca="1" si="5"/>
        <v>44344</v>
      </c>
      <c r="CZ10" s="123">
        <f t="shared" ca="1" si="5"/>
        <v>44345</v>
      </c>
    </row>
    <row r="11" spans="1:113" ht="18" customHeight="1" x14ac:dyDescent="0.4">
      <c r="B11" s="124">
        <v>1</v>
      </c>
      <c r="C11" s="125" t="s">
        <v>65</v>
      </c>
      <c r="D11" s="125"/>
      <c r="E11" s="126" t="s">
        <v>66</v>
      </c>
      <c r="F11" s="127"/>
      <c r="G11" s="128">
        <v>5</v>
      </c>
      <c r="H11" s="128">
        <v>1</v>
      </c>
      <c r="I11" s="129">
        <v>0.2</v>
      </c>
      <c r="J11" s="130">
        <f ca="1">TODAY()-1</f>
        <v>44279</v>
      </c>
      <c r="K11" s="130">
        <f ca="1">TODAY()+5</f>
        <v>44285</v>
      </c>
      <c r="L11" s="131"/>
      <c r="M11" s="131"/>
      <c r="N11" s="132"/>
      <c r="O11" s="132"/>
      <c r="P11" s="132"/>
      <c r="Q11" s="132"/>
      <c r="R11" s="133"/>
      <c r="S11" s="133"/>
      <c r="T11" s="133"/>
      <c r="U11" s="133"/>
      <c r="V11" s="134"/>
      <c r="W11" s="134"/>
      <c r="X11" s="134"/>
      <c r="Y11" s="134"/>
      <c r="Z11" s="134"/>
      <c r="AA11" s="134"/>
      <c r="AB11" s="134"/>
      <c r="AC11" s="134"/>
      <c r="AD11" s="134"/>
      <c r="AE11" s="134"/>
      <c r="AF11" s="134"/>
      <c r="AG11" s="134"/>
      <c r="AH11" s="134"/>
      <c r="AI11" s="134"/>
      <c r="AJ11" s="134"/>
      <c r="AK11" s="134"/>
      <c r="AL11" s="134"/>
      <c r="AM11" s="134"/>
      <c r="AN11" s="134"/>
      <c r="AO11" s="134"/>
      <c r="AP11" s="134"/>
      <c r="AQ11" s="134"/>
      <c r="AR11" s="134"/>
      <c r="AS11" s="134"/>
      <c r="AT11" s="134"/>
      <c r="AU11" s="134"/>
      <c r="AV11" s="134"/>
      <c r="AW11" s="134"/>
      <c r="AX11" s="134"/>
      <c r="AY11" s="134"/>
      <c r="AZ11" s="134"/>
      <c r="BA11" s="134"/>
      <c r="BB11" s="134"/>
      <c r="BC11" s="134"/>
      <c r="BD11" s="134"/>
      <c r="BE11" s="134"/>
      <c r="BF11" s="133"/>
      <c r="BG11" s="133"/>
      <c r="BH11" s="133"/>
      <c r="BI11" s="133"/>
      <c r="BJ11" s="133"/>
      <c r="BK11" s="133"/>
      <c r="BL11" s="133"/>
      <c r="BM11" s="133"/>
      <c r="BN11" s="133"/>
      <c r="BO11" s="133"/>
      <c r="BP11" s="133"/>
      <c r="BQ11" s="133"/>
      <c r="BR11" s="133"/>
      <c r="BS11" s="133"/>
      <c r="BT11" s="133"/>
      <c r="BU11" s="133"/>
      <c r="BV11" s="133"/>
      <c r="BW11" s="133"/>
      <c r="BX11" s="133"/>
      <c r="BY11" s="133"/>
      <c r="BZ11" s="133"/>
      <c r="CA11" s="133"/>
      <c r="CB11" s="133"/>
      <c r="CC11" s="133"/>
      <c r="CD11" s="133"/>
      <c r="CE11" s="133"/>
      <c r="CF11" s="133"/>
      <c r="CG11" s="133"/>
      <c r="CH11" s="133"/>
      <c r="CI11" s="133"/>
      <c r="CJ11" s="133"/>
      <c r="CK11" s="133"/>
      <c r="CL11" s="133"/>
      <c r="CM11" s="133"/>
      <c r="CN11" s="133"/>
      <c r="CO11" s="133"/>
      <c r="CP11" s="133"/>
      <c r="CQ11" s="133"/>
      <c r="CR11" s="133"/>
      <c r="CS11" s="133"/>
      <c r="CT11" s="133"/>
      <c r="CU11" s="133"/>
      <c r="CV11" s="133"/>
      <c r="CW11" s="133"/>
      <c r="CX11" s="133"/>
      <c r="CY11" s="135"/>
      <c r="CZ11" s="135"/>
      <c r="DA11" s="102"/>
      <c r="DB11" s="102"/>
      <c r="DC11" s="102"/>
      <c r="DD11" s="102"/>
      <c r="DE11" s="102"/>
      <c r="DF11" s="102"/>
      <c r="DG11" s="102"/>
      <c r="DH11" s="102"/>
      <c r="DI11" s="102"/>
    </row>
    <row r="12" spans="1:113" ht="18" customHeight="1" x14ac:dyDescent="0.4">
      <c r="B12" s="124">
        <v>2</v>
      </c>
      <c r="C12" s="125"/>
      <c r="D12" s="125"/>
      <c r="E12" s="126" t="s">
        <v>67</v>
      </c>
      <c r="F12" s="127"/>
      <c r="G12" s="128">
        <v>5</v>
      </c>
      <c r="H12" s="136">
        <v>2</v>
      </c>
      <c r="I12" s="129">
        <f>IF(G12&gt;0,H12/G12,"")</f>
        <v>0.4</v>
      </c>
      <c r="J12" s="130">
        <f ca="1">TODAY()-10</f>
        <v>44270</v>
      </c>
      <c r="K12" s="130">
        <f ca="1">TODAY()-5</f>
        <v>44275</v>
      </c>
      <c r="L12" s="137"/>
      <c r="M12" s="137"/>
      <c r="N12" s="133"/>
      <c r="O12" s="138"/>
      <c r="P12" s="138"/>
      <c r="Q12" s="138"/>
      <c r="R12" s="135"/>
      <c r="S12" s="135"/>
      <c r="T12" s="135"/>
      <c r="U12" s="135"/>
      <c r="V12" s="139"/>
      <c r="W12" s="139"/>
      <c r="X12" s="139"/>
      <c r="Y12" s="139"/>
      <c r="Z12" s="139"/>
      <c r="AA12" s="139"/>
      <c r="AB12" s="139"/>
      <c r="AC12" s="139"/>
      <c r="AD12" s="139"/>
      <c r="AE12" s="139"/>
      <c r="AF12" s="139"/>
      <c r="AG12" s="139"/>
      <c r="AH12" s="139"/>
      <c r="AI12" s="139"/>
      <c r="AJ12" s="139"/>
      <c r="AK12" s="139"/>
      <c r="AL12" s="139"/>
      <c r="AM12" s="139"/>
      <c r="AN12" s="139"/>
      <c r="AO12" s="139"/>
      <c r="AP12" s="139"/>
      <c r="AQ12" s="139"/>
      <c r="AR12" s="139"/>
      <c r="AS12" s="139"/>
      <c r="AT12" s="139"/>
      <c r="AU12" s="139"/>
      <c r="AV12" s="139"/>
      <c r="AW12" s="139"/>
      <c r="AX12" s="139"/>
      <c r="AY12" s="139"/>
      <c r="AZ12" s="139"/>
      <c r="BA12" s="139"/>
      <c r="BB12" s="139"/>
      <c r="BC12" s="139"/>
      <c r="BD12" s="139"/>
      <c r="BE12" s="139"/>
      <c r="BF12" s="133"/>
      <c r="BG12" s="133"/>
      <c r="BH12" s="133"/>
      <c r="BI12" s="133"/>
      <c r="BJ12" s="133"/>
      <c r="BK12" s="133"/>
      <c r="BL12" s="133"/>
      <c r="BM12" s="133"/>
      <c r="BN12" s="133"/>
      <c r="BO12" s="133"/>
      <c r="BP12" s="133"/>
      <c r="BQ12" s="133"/>
      <c r="BR12" s="133"/>
      <c r="BS12" s="133"/>
      <c r="BT12" s="133"/>
      <c r="BU12" s="133"/>
      <c r="BV12" s="133"/>
      <c r="BW12" s="133"/>
      <c r="BX12" s="133"/>
      <c r="BY12" s="133"/>
      <c r="BZ12" s="133"/>
      <c r="CA12" s="133"/>
      <c r="CB12" s="133"/>
      <c r="CC12" s="133"/>
      <c r="CD12" s="133"/>
      <c r="CE12" s="133"/>
      <c r="CF12" s="133"/>
      <c r="CG12" s="133"/>
      <c r="CH12" s="133"/>
      <c r="CI12" s="133"/>
      <c r="CJ12" s="133"/>
      <c r="CK12" s="133"/>
      <c r="CL12" s="133"/>
      <c r="CM12" s="133"/>
      <c r="CN12" s="133"/>
      <c r="CO12" s="133"/>
      <c r="CP12" s="133"/>
      <c r="CQ12" s="133"/>
      <c r="CR12" s="133"/>
      <c r="CS12" s="133"/>
      <c r="CT12" s="133"/>
      <c r="CU12" s="133"/>
      <c r="CV12" s="133"/>
      <c r="CW12" s="133"/>
      <c r="CX12" s="133"/>
      <c r="CY12" s="135"/>
      <c r="CZ12" s="135"/>
      <c r="DA12" s="102"/>
      <c r="DB12" s="102"/>
      <c r="DC12" s="102"/>
      <c r="DD12" s="102"/>
      <c r="DE12" s="102"/>
      <c r="DF12" s="102"/>
      <c r="DG12" s="102"/>
      <c r="DH12" s="102"/>
      <c r="DI12" s="102"/>
    </row>
    <row r="13" spans="1:113" ht="18" customHeight="1" x14ac:dyDescent="0.4">
      <c r="B13" s="124">
        <v>3</v>
      </c>
      <c r="C13" s="125"/>
      <c r="D13" s="125"/>
      <c r="E13" s="126" t="s">
        <v>15</v>
      </c>
      <c r="F13" s="127"/>
      <c r="G13" s="128">
        <v>5</v>
      </c>
      <c r="H13" s="140">
        <v>3</v>
      </c>
      <c r="I13" s="129">
        <f>IF(G13&gt;0,H13/G13,"")</f>
        <v>0.6</v>
      </c>
      <c r="J13" s="130">
        <f ca="1">TODAY()-10</f>
        <v>44270</v>
      </c>
      <c r="K13" s="130">
        <f t="shared" ref="K13:K42" ca="1" si="6">TODAY()+5</f>
        <v>44285</v>
      </c>
      <c r="L13" s="137"/>
      <c r="M13" s="137"/>
      <c r="N13" s="141"/>
      <c r="O13" s="133"/>
      <c r="P13" s="133"/>
      <c r="Q13" s="133"/>
      <c r="R13" s="135"/>
      <c r="S13" s="135"/>
      <c r="T13" s="135"/>
      <c r="U13" s="135"/>
      <c r="V13" s="139"/>
      <c r="W13" s="139"/>
      <c r="X13" s="139"/>
      <c r="Y13" s="139"/>
      <c r="Z13" s="139"/>
      <c r="AA13" s="139"/>
      <c r="AB13" s="139"/>
      <c r="AC13" s="139"/>
      <c r="AD13" s="139"/>
      <c r="AE13" s="139"/>
      <c r="AF13" s="139"/>
      <c r="AG13" s="139"/>
      <c r="AH13" s="139"/>
      <c r="AI13" s="139"/>
      <c r="AJ13" s="139"/>
      <c r="AK13" s="139"/>
      <c r="AL13" s="139"/>
      <c r="AM13" s="139"/>
      <c r="AN13" s="139"/>
      <c r="AO13" s="139"/>
      <c r="AP13" s="139"/>
      <c r="AQ13" s="139"/>
      <c r="AR13" s="139"/>
      <c r="AS13" s="139"/>
      <c r="AT13" s="139"/>
      <c r="AU13" s="139"/>
      <c r="AV13" s="139"/>
      <c r="AW13" s="139"/>
      <c r="AX13" s="139"/>
      <c r="AY13" s="139"/>
      <c r="AZ13" s="139"/>
      <c r="BA13" s="139"/>
      <c r="BB13" s="139"/>
      <c r="BC13" s="139"/>
      <c r="BD13" s="139"/>
      <c r="BE13" s="139"/>
      <c r="BF13" s="133"/>
      <c r="BG13" s="133"/>
      <c r="BH13" s="133"/>
      <c r="BI13" s="133"/>
      <c r="BJ13" s="133"/>
      <c r="BK13" s="133"/>
      <c r="BL13" s="133"/>
      <c r="BM13" s="133"/>
      <c r="BN13" s="133"/>
      <c r="BO13" s="133"/>
      <c r="BP13" s="133"/>
      <c r="BQ13" s="133"/>
      <c r="BR13" s="133"/>
      <c r="BS13" s="133"/>
      <c r="BT13" s="133"/>
      <c r="BU13" s="133"/>
      <c r="BV13" s="133"/>
      <c r="BW13" s="133"/>
      <c r="BX13" s="133"/>
      <c r="BY13" s="133"/>
      <c r="BZ13" s="133"/>
      <c r="CA13" s="133"/>
      <c r="CB13" s="133"/>
      <c r="CC13" s="133"/>
      <c r="CD13" s="133"/>
      <c r="CE13" s="133"/>
      <c r="CF13" s="133"/>
      <c r="CG13" s="133"/>
      <c r="CH13" s="133"/>
      <c r="CI13" s="133"/>
      <c r="CJ13" s="133"/>
      <c r="CK13" s="133"/>
      <c r="CL13" s="133"/>
      <c r="CM13" s="133"/>
      <c r="CN13" s="133"/>
      <c r="CO13" s="133"/>
      <c r="CP13" s="133"/>
      <c r="CQ13" s="133"/>
      <c r="CR13" s="133"/>
      <c r="CS13" s="133"/>
      <c r="CT13" s="133"/>
      <c r="CU13" s="133"/>
      <c r="CV13" s="133"/>
      <c r="CW13" s="133"/>
      <c r="CX13" s="133"/>
      <c r="CY13" s="135"/>
      <c r="CZ13" s="135"/>
      <c r="DA13" s="102"/>
      <c r="DB13" s="102"/>
      <c r="DC13" s="102"/>
      <c r="DD13" s="102"/>
      <c r="DE13" s="102"/>
      <c r="DF13" s="102"/>
      <c r="DG13" s="102"/>
      <c r="DH13" s="102"/>
      <c r="DI13" s="102"/>
    </row>
    <row r="14" spans="1:113" ht="18" customHeight="1" x14ac:dyDescent="0.4">
      <c r="B14" s="124">
        <v>4</v>
      </c>
      <c r="C14" s="125"/>
      <c r="D14" s="126"/>
      <c r="E14" s="126" t="s">
        <v>16</v>
      </c>
      <c r="F14" s="127"/>
      <c r="G14" s="128">
        <v>5</v>
      </c>
      <c r="H14" s="142">
        <v>4</v>
      </c>
      <c r="I14" s="129">
        <f>IF(G14&gt;0,H14/G14,"")</f>
        <v>0.8</v>
      </c>
      <c r="J14" s="130">
        <f ca="1">TODAY()-28</f>
        <v>44252</v>
      </c>
      <c r="K14" s="130">
        <f ca="1">TODAY()-20</f>
        <v>44260</v>
      </c>
      <c r="L14" s="143"/>
      <c r="M14" s="143"/>
      <c r="N14" s="141"/>
      <c r="O14" s="133"/>
      <c r="P14" s="133"/>
      <c r="Q14" s="133"/>
      <c r="R14" s="135"/>
      <c r="S14" s="135"/>
      <c r="T14" s="135"/>
      <c r="U14" s="135"/>
      <c r="V14" s="134"/>
      <c r="W14" s="134"/>
      <c r="X14" s="134"/>
      <c r="Y14" s="134"/>
      <c r="Z14" s="134"/>
      <c r="AA14" s="134"/>
      <c r="AB14" s="134"/>
      <c r="AC14" s="134"/>
      <c r="AD14" s="134"/>
      <c r="AE14" s="134"/>
      <c r="AF14" s="134"/>
      <c r="AG14" s="134"/>
      <c r="AH14" s="134"/>
      <c r="AI14" s="134"/>
      <c r="AJ14" s="134"/>
      <c r="AK14" s="134"/>
      <c r="AL14" s="134"/>
      <c r="AM14" s="134"/>
      <c r="AN14" s="134"/>
      <c r="AO14" s="134"/>
      <c r="AP14" s="134"/>
      <c r="AQ14" s="134"/>
      <c r="AR14" s="134"/>
      <c r="AS14" s="134"/>
      <c r="AT14" s="134"/>
      <c r="AU14" s="134"/>
      <c r="AV14" s="134"/>
      <c r="AW14" s="134"/>
      <c r="AX14" s="134"/>
      <c r="AY14" s="134"/>
      <c r="AZ14" s="134"/>
      <c r="BA14" s="134"/>
      <c r="BB14" s="134"/>
      <c r="BC14" s="134"/>
      <c r="BD14" s="134"/>
      <c r="BE14" s="134"/>
      <c r="BF14" s="133"/>
      <c r="BG14" s="133"/>
      <c r="BH14" s="133"/>
      <c r="BI14" s="133"/>
      <c r="BJ14" s="133"/>
      <c r="BK14" s="133"/>
      <c r="BL14" s="133"/>
      <c r="BM14" s="133"/>
      <c r="BN14" s="133"/>
      <c r="BO14" s="133"/>
      <c r="BP14" s="133"/>
      <c r="BQ14" s="133"/>
      <c r="BR14" s="133"/>
      <c r="BS14" s="133"/>
      <c r="BT14" s="133"/>
      <c r="BU14" s="133"/>
      <c r="BV14" s="133"/>
      <c r="BW14" s="133"/>
      <c r="BX14" s="133"/>
      <c r="BY14" s="133"/>
      <c r="BZ14" s="133"/>
      <c r="CA14" s="133"/>
      <c r="CB14" s="133"/>
      <c r="CC14" s="133"/>
      <c r="CD14" s="133"/>
      <c r="CE14" s="133"/>
      <c r="CF14" s="133"/>
      <c r="CG14" s="133"/>
      <c r="CH14" s="133"/>
      <c r="CI14" s="133"/>
      <c r="CJ14" s="133"/>
      <c r="CK14" s="133"/>
      <c r="CL14" s="133"/>
      <c r="CM14" s="133"/>
      <c r="CN14" s="133"/>
      <c r="CO14" s="133"/>
      <c r="CP14" s="133"/>
      <c r="CQ14" s="133"/>
      <c r="CR14" s="133"/>
      <c r="CS14" s="133"/>
      <c r="CT14" s="133"/>
      <c r="CU14" s="133"/>
      <c r="CV14" s="133"/>
      <c r="CW14" s="133"/>
      <c r="CX14" s="133"/>
      <c r="CY14" s="135"/>
      <c r="CZ14" s="135"/>
      <c r="DA14" s="102"/>
      <c r="DB14" s="102"/>
      <c r="DC14" s="102"/>
      <c r="DD14" s="102"/>
      <c r="DE14" s="102"/>
      <c r="DF14" s="102"/>
      <c r="DG14" s="102"/>
      <c r="DH14" s="102"/>
      <c r="DI14" s="102"/>
    </row>
    <row r="15" spans="1:113" ht="18" customHeight="1" x14ac:dyDescent="0.4">
      <c r="B15" s="124">
        <v>5</v>
      </c>
      <c r="C15" s="125"/>
      <c r="D15" s="125"/>
      <c r="E15" s="126" t="s">
        <v>17</v>
      </c>
      <c r="F15" s="127"/>
      <c r="G15" s="128">
        <v>5</v>
      </c>
      <c r="H15" s="136">
        <v>5</v>
      </c>
      <c r="I15" s="129">
        <f>IF(G15&gt;0,H15/G15,"")</f>
        <v>1</v>
      </c>
      <c r="J15" s="130">
        <f t="shared" ref="J15:J42" ca="1" si="7">TODAY()-1</f>
        <v>44279</v>
      </c>
      <c r="K15" s="130">
        <f t="shared" ca="1" si="6"/>
        <v>44285</v>
      </c>
      <c r="L15" s="131"/>
      <c r="M15" s="131"/>
      <c r="N15" s="144"/>
      <c r="O15" s="133"/>
      <c r="P15" s="133"/>
      <c r="Q15" s="133"/>
      <c r="R15" s="135"/>
      <c r="S15" s="135"/>
      <c r="T15" s="135"/>
      <c r="U15" s="135"/>
      <c r="V15" s="134"/>
      <c r="W15" s="134"/>
      <c r="X15" s="134"/>
      <c r="Y15" s="134"/>
      <c r="Z15" s="134"/>
      <c r="AA15" s="134"/>
      <c r="AB15" s="134"/>
      <c r="AC15" s="134"/>
      <c r="AD15" s="134"/>
      <c r="AE15" s="134"/>
      <c r="AF15" s="134"/>
      <c r="AG15" s="134"/>
      <c r="AH15" s="134"/>
      <c r="AI15" s="134"/>
      <c r="AJ15" s="134"/>
      <c r="AK15" s="134"/>
      <c r="AL15" s="134"/>
      <c r="AM15" s="134"/>
      <c r="AN15" s="134"/>
      <c r="AO15" s="134"/>
      <c r="AP15" s="134"/>
      <c r="AQ15" s="134"/>
      <c r="AR15" s="134"/>
      <c r="AS15" s="134"/>
      <c r="AT15" s="134"/>
      <c r="AU15" s="134"/>
      <c r="AV15" s="134"/>
      <c r="AW15" s="134"/>
      <c r="AX15" s="134"/>
      <c r="AY15" s="134"/>
      <c r="AZ15" s="134"/>
      <c r="BA15" s="134"/>
      <c r="BB15" s="134"/>
      <c r="BC15" s="134"/>
      <c r="BD15" s="134"/>
      <c r="BE15" s="134"/>
      <c r="BF15" s="133"/>
      <c r="BG15" s="133"/>
      <c r="BH15" s="133"/>
      <c r="BI15" s="133"/>
      <c r="BJ15" s="133"/>
      <c r="BK15" s="133"/>
      <c r="BL15" s="133"/>
      <c r="BM15" s="133"/>
      <c r="BN15" s="133"/>
      <c r="BO15" s="133"/>
      <c r="BP15" s="133"/>
      <c r="BQ15" s="133"/>
      <c r="BR15" s="133"/>
      <c r="BS15" s="133"/>
      <c r="BT15" s="133"/>
      <c r="BU15" s="133"/>
      <c r="BV15" s="133"/>
      <c r="BW15" s="133"/>
      <c r="BX15" s="133"/>
      <c r="BY15" s="133"/>
      <c r="BZ15" s="133"/>
      <c r="CA15" s="133"/>
      <c r="CB15" s="133"/>
      <c r="CC15" s="133"/>
      <c r="CD15" s="133"/>
      <c r="CE15" s="133"/>
      <c r="CF15" s="133"/>
      <c r="CG15" s="133"/>
      <c r="CH15" s="133"/>
      <c r="CI15" s="133"/>
      <c r="CJ15" s="133"/>
      <c r="CK15" s="133"/>
      <c r="CL15" s="133"/>
      <c r="CM15" s="133"/>
      <c r="CN15" s="133"/>
      <c r="CO15" s="133"/>
      <c r="CP15" s="133"/>
      <c r="CQ15" s="133"/>
      <c r="CR15" s="133"/>
      <c r="CS15" s="133"/>
      <c r="CT15" s="133"/>
      <c r="CU15" s="133"/>
      <c r="CV15" s="133"/>
      <c r="CW15" s="133"/>
      <c r="CX15" s="133"/>
      <c r="CY15" s="135"/>
      <c r="CZ15" s="135"/>
      <c r="DA15" s="102"/>
      <c r="DB15" s="102"/>
      <c r="DC15" s="102"/>
      <c r="DD15" s="102"/>
      <c r="DE15" s="102"/>
      <c r="DF15" s="102"/>
      <c r="DG15" s="102"/>
      <c r="DH15" s="102"/>
      <c r="DI15" s="102"/>
    </row>
    <row r="16" spans="1:113" ht="18" customHeight="1" x14ac:dyDescent="0.4">
      <c r="B16" s="124">
        <v>6</v>
      </c>
      <c r="C16" s="125"/>
      <c r="D16" s="125"/>
      <c r="E16" s="126" t="s">
        <v>18</v>
      </c>
      <c r="F16" s="127"/>
      <c r="G16" s="128">
        <v>5</v>
      </c>
      <c r="H16" s="140">
        <v>5</v>
      </c>
      <c r="I16" s="129">
        <f>IF(G16&gt;0,H16/G16,"")</f>
        <v>1</v>
      </c>
      <c r="J16" s="130">
        <f t="shared" ca="1" si="7"/>
        <v>44279</v>
      </c>
      <c r="K16" s="130">
        <f t="shared" ca="1" si="6"/>
        <v>44285</v>
      </c>
      <c r="L16" s="137"/>
      <c r="M16" s="137"/>
      <c r="N16" s="145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  <c r="AF16" s="146"/>
      <c r="AG16" s="146"/>
      <c r="AH16" s="146"/>
      <c r="AI16" s="146"/>
      <c r="AJ16" s="146"/>
      <c r="AK16" s="146"/>
      <c r="AL16" s="146"/>
      <c r="AM16" s="146"/>
      <c r="AN16" s="146"/>
      <c r="AO16" s="146"/>
      <c r="AP16" s="146"/>
      <c r="AQ16" s="146"/>
      <c r="AR16" s="146"/>
      <c r="AS16" s="146"/>
      <c r="AT16" s="146"/>
      <c r="AU16" s="146"/>
      <c r="AV16" s="146"/>
      <c r="AW16" s="146"/>
      <c r="AX16" s="146"/>
      <c r="AY16" s="146"/>
      <c r="AZ16" s="146"/>
      <c r="BA16" s="146"/>
      <c r="BB16" s="146"/>
      <c r="BC16" s="146"/>
      <c r="BD16" s="146"/>
      <c r="BE16" s="146"/>
      <c r="BF16" s="146"/>
      <c r="BG16" s="146"/>
      <c r="BH16" s="146"/>
      <c r="BI16" s="146"/>
      <c r="BJ16" s="146"/>
      <c r="BK16" s="146"/>
      <c r="BL16" s="146"/>
      <c r="BM16" s="146"/>
      <c r="BN16" s="146"/>
      <c r="BO16" s="146"/>
      <c r="BP16" s="146"/>
      <c r="BQ16" s="146"/>
      <c r="BR16" s="146"/>
      <c r="BS16" s="146"/>
      <c r="BT16" s="146"/>
      <c r="BU16" s="146"/>
      <c r="BV16" s="146"/>
      <c r="BW16" s="146"/>
      <c r="BX16" s="146"/>
      <c r="BY16" s="146"/>
      <c r="BZ16" s="146"/>
      <c r="CA16" s="146"/>
      <c r="CB16" s="146"/>
      <c r="CC16" s="146"/>
      <c r="CD16" s="146"/>
      <c r="CE16" s="146"/>
      <c r="CF16" s="146"/>
      <c r="CG16" s="146"/>
      <c r="CH16" s="146"/>
      <c r="CI16" s="146"/>
      <c r="CJ16" s="146"/>
      <c r="CK16" s="146"/>
      <c r="CL16" s="146"/>
      <c r="CM16" s="146"/>
      <c r="CN16" s="146"/>
      <c r="CO16" s="146"/>
      <c r="CP16" s="146"/>
      <c r="CQ16" s="146"/>
      <c r="CR16" s="146"/>
      <c r="CS16" s="146"/>
      <c r="CT16" s="146"/>
      <c r="CU16" s="146"/>
      <c r="CV16" s="146"/>
      <c r="CW16" s="146"/>
      <c r="CX16" s="146"/>
      <c r="CY16" s="146"/>
      <c r="CZ16" s="146"/>
    </row>
    <row r="17" spans="2:113" ht="18" customHeight="1" x14ac:dyDescent="0.4">
      <c r="B17" s="124">
        <v>7</v>
      </c>
      <c r="C17" s="125"/>
      <c r="D17" s="126"/>
      <c r="E17" s="126" t="s">
        <v>19</v>
      </c>
      <c r="F17" s="127"/>
      <c r="G17" s="128">
        <v>5</v>
      </c>
      <c r="H17" s="140">
        <v>5</v>
      </c>
      <c r="I17" s="129">
        <f>IF(G17&gt;0,H17/G17,"")</f>
        <v>1</v>
      </c>
      <c r="J17" s="130">
        <f t="shared" ca="1" si="7"/>
        <v>44279</v>
      </c>
      <c r="K17" s="130">
        <f t="shared" ca="1" si="6"/>
        <v>44285</v>
      </c>
      <c r="L17" s="137"/>
      <c r="M17" s="137"/>
      <c r="N17" s="145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  <c r="AF17" s="146"/>
      <c r="AG17" s="146"/>
      <c r="AH17" s="146"/>
      <c r="AI17" s="146"/>
      <c r="AJ17" s="146"/>
      <c r="AK17" s="146"/>
      <c r="AL17" s="146"/>
      <c r="AM17" s="146"/>
      <c r="AN17" s="146"/>
      <c r="AO17" s="146"/>
      <c r="AP17" s="146"/>
      <c r="AQ17" s="146"/>
      <c r="AR17" s="146"/>
      <c r="AS17" s="146"/>
      <c r="AT17" s="146"/>
      <c r="AU17" s="146"/>
      <c r="AV17" s="146"/>
      <c r="AW17" s="146"/>
      <c r="AX17" s="146"/>
      <c r="AY17" s="146"/>
      <c r="AZ17" s="146"/>
      <c r="BA17" s="146"/>
      <c r="BB17" s="146"/>
      <c r="BC17" s="146"/>
      <c r="BD17" s="146"/>
      <c r="BE17" s="146"/>
      <c r="BF17" s="146"/>
      <c r="BG17" s="146"/>
      <c r="BH17" s="146"/>
      <c r="BI17" s="146"/>
      <c r="BJ17" s="146"/>
      <c r="BK17" s="146"/>
      <c r="BL17" s="146"/>
      <c r="BM17" s="146"/>
      <c r="BN17" s="146"/>
      <c r="BO17" s="146"/>
      <c r="BP17" s="146"/>
      <c r="BQ17" s="146"/>
      <c r="BR17" s="146"/>
      <c r="BS17" s="146"/>
      <c r="BT17" s="146"/>
      <c r="BU17" s="146"/>
      <c r="BV17" s="146"/>
      <c r="BW17" s="146"/>
      <c r="BX17" s="146"/>
      <c r="BY17" s="146"/>
      <c r="BZ17" s="146"/>
      <c r="CA17" s="146"/>
      <c r="CB17" s="146"/>
      <c r="CC17" s="146"/>
      <c r="CD17" s="146"/>
      <c r="CE17" s="146"/>
      <c r="CF17" s="146"/>
      <c r="CG17" s="146"/>
      <c r="CH17" s="146"/>
      <c r="CI17" s="146"/>
      <c r="CJ17" s="146"/>
      <c r="CK17" s="146"/>
      <c r="CL17" s="146"/>
      <c r="CM17" s="146"/>
      <c r="CN17" s="146"/>
      <c r="CO17" s="146"/>
      <c r="CP17" s="146"/>
      <c r="CQ17" s="146"/>
      <c r="CR17" s="146"/>
      <c r="CS17" s="146"/>
      <c r="CT17" s="146"/>
      <c r="CU17" s="146"/>
      <c r="CV17" s="146"/>
      <c r="CW17" s="146"/>
      <c r="CX17" s="146"/>
      <c r="CY17" s="146"/>
      <c r="CZ17" s="146"/>
    </row>
    <row r="18" spans="2:113" ht="18" customHeight="1" x14ac:dyDescent="0.4">
      <c r="B18" s="124">
        <v>8</v>
      </c>
      <c r="C18" s="125"/>
      <c r="D18" s="126"/>
      <c r="E18" s="126" t="s">
        <v>20</v>
      </c>
      <c r="F18" s="127"/>
      <c r="G18" s="128">
        <v>5</v>
      </c>
      <c r="H18" s="136">
        <v>5</v>
      </c>
      <c r="I18" s="129">
        <f>IF(G18&gt;0,H18/G18,"")</f>
        <v>1</v>
      </c>
      <c r="J18" s="130">
        <f t="shared" ca="1" si="7"/>
        <v>44279</v>
      </c>
      <c r="K18" s="130">
        <f t="shared" ca="1" si="6"/>
        <v>44285</v>
      </c>
      <c r="L18" s="137"/>
      <c r="M18" s="137"/>
      <c r="N18" s="133"/>
      <c r="O18" s="133"/>
      <c r="P18" s="133"/>
      <c r="Q18" s="133"/>
      <c r="R18" s="135"/>
      <c r="S18" s="135"/>
      <c r="T18" s="135"/>
      <c r="U18" s="135"/>
      <c r="V18" s="134"/>
      <c r="W18" s="134"/>
      <c r="X18" s="134"/>
      <c r="Y18" s="134"/>
      <c r="Z18" s="134"/>
      <c r="AA18" s="134"/>
      <c r="AB18" s="134"/>
      <c r="AC18" s="134"/>
      <c r="AD18" s="134"/>
      <c r="AE18" s="134"/>
      <c r="AF18" s="134"/>
      <c r="AG18" s="134"/>
      <c r="AH18" s="134"/>
      <c r="AI18" s="134"/>
      <c r="AJ18" s="134"/>
      <c r="AK18" s="134"/>
      <c r="AL18" s="134"/>
      <c r="AM18" s="134"/>
      <c r="AN18" s="134"/>
      <c r="AO18" s="134"/>
      <c r="AP18" s="134"/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  <c r="BC18" s="134"/>
      <c r="BD18" s="134"/>
      <c r="BE18" s="134"/>
      <c r="BF18" s="133"/>
      <c r="BG18" s="133"/>
      <c r="BH18" s="133"/>
      <c r="BI18" s="133"/>
      <c r="BJ18" s="133"/>
      <c r="BK18" s="133"/>
      <c r="BL18" s="133"/>
      <c r="BM18" s="133"/>
      <c r="BN18" s="133"/>
      <c r="BO18" s="133"/>
      <c r="BP18" s="133"/>
      <c r="BQ18" s="133"/>
      <c r="BR18" s="133"/>
      <c r="BS18" s="133"/>
      <c r="BT18" s="133"/>
      <c r="BU18" s="133"/>
      <c r="BV18" s="133"/>
      <c r="BW18" s="133"/>
      <c r="BX18" s="133"/>
      <c r="BY18" s="133"/>
      <c r="BZ18" s="133"/>
      <c r="CA18" s="133"/>
      <c r="CB18" s="133"/>
      <c r="CC18" s="133"/>
      <c r="CD18" s="133"/>
      <c r="CE18" s="133"/>
      <c r="CF18" s="133"/>
      <c r="CG18" s="133"/>
      <c r="CH18" s="133"/>
      <c r="CI18" s="133"/>
      <c r="CJ18" s="133"/>
      <c r="CK18" s="133"/>
      <c r="CL18" s="133"/>
      <c r="CM18" s="133"/>
      <c r="CN18" s="133"/>
      <c r="CO18" s="133"/>
      <c r="CP18" s="133"/>
      <c r="CQ18" s="133"/>
      <c r="CR18" s="133"/>
      <c r="CS18" s="133"/>
      <c r="CT18" s="133"/>
      <c r="CU18" s="133"/>
      <c r="CV18" s="133"/>
      <c r="CW18" s="133"/>
      <c r="CX18" s="133"/>
      <c r="CY18" s="135"/>
      <c r="CZ18" s="135"/>
      <c r="DA18" s="102"/>
      <c r="DB18" s="102"/>
      <c r="DC18" s="102"/>
      <c r="DD18" s="102"/>
      <c r="DE18" s="102"/>
      <c r="DF18" s="102"/>
      <c r="DG18" s="102"/>
      <c r="DH18" s="102"/>
      <c r="DI18" s="102"/>
    </row>
    <row r="19" spans="2:113" ht="18" customHeight="1" x14ac:dyDescent="0.4">
      <c r="B19" s="124">
        <v>9</v>
      </c>
      <c r="C19" s="125"/>
      <c r="D19" s="126"/>
      <c r="E19" s="126" t="s">
        <v>21</v>
      </c>
      <c r="F19" s="127"/>
      <c r="G19" s="128">
        <v>5</v>
      </c>
      <c r="H19" s="140">
        <v>5</v>
      </c>
      <c r="I19" s="129">
        <f>IF(G19&gt;0,H19/G19,"")</f>
        <v>1</v>
      </c>
      <c r="J19" s="130">
        <f t="shared" ca="1" si="7"/>
        <v>44279</v>
      </c>
      <c r="K19" s="130">
        <f t="shared" ca="1" si="6"/>
        <v>44285</v>
      </c>
      <c r="L19" s="137"/>
      <c r="M19" s="137"/>
      <c r="N19" s="141"/>
      <c r="O19" s="133"/>
      <c r="P19" s="133"/>
      <c r="Q19" s="133"/>
      <c r="R19" s="133"/>
      <c r="S19" s="133"/>
      <c r="T19" s="135"/>
      <c r="U19" s="135"/>
      <c r="V19" s="139"/>
      <c r="W19" s="139"/>
      <c r="X19" s="139"/>
      <c r="Y19" s="139"/>
      <c r="Z19" s="139"/>
      <c r="AA19" s="139"/>
      <c r="AB19" s="139"/>
      <c r="AC19" s="139"/>
      <c r="AD19" s="139"/>
      <c r="AE19" s="139"/>
      <c r="AF19" s="139"/>
      <c r="AG19" s="139"/>
      <c r="AH19" s="139"/>
      <c r="AI19" s="139"/>
      <c r="AJ19" s="139"/>
      <c r="AK19" s="139"/>
      <c r="AL19" s="139"/>
      <c r="AM19" s="139"/>
      <c r="AN19" s="139"/>
      <c r="AO19" s="139"/>
      <c r="AP19" s="139"/>
      <c r="AQ19" s="139"/>
      <c r="AR19" s="139"/>
      <c r="AS19" s="139"/>
      <c r="AT19" s="139"/>
      <c r="AU19" s="139"/>
      <c r="AV19" s="139"/>
      <c r="AW19" s="139"/>
      <c r="AX19" s="139"/>
      <c r="AY19" s="139"/>
      <c r="AZ19" s="139"/>
      <c r="BA19" s="139"/>
      <c r="BB19" s="139"/>
      <c r="BC19" s="139"/>
      <c r="BD19" s="139"/>
      <c r="BE19" s="139"/>
      <c r="BF19" s="133"/>
      <c r="BG19" s="133"/>
      <c r="BH19" s="133"/>
      <c r="BI19" s="133"/>
      <c r="BJ19" s="133"/>
      <c r="BK19" s="133"/>
      <c r="BL19" s="133"/>
      <c r="BM19" s="133"/>
      <c r="BN19" s="133"/>
      <c r="BO19" s="133"/>
      <c r="BP19" s="133"/>
      <c r="BQ19" s="133"/>
      <c r="BR19" s="133"/>
      <c r="BS19" s="133"/>
      <c r="BT19" s="133"/>
      <c r="BU19" s="133"/>
      <c r="BV19" s="133"/>
      <c r="BW19" s="133"/>
      <c r="BX19" s="133"/>
      <c r="BY19" s="133"/>
      <c r="BZ19" s="133"/>
      <c r="CA19" s="133"/>
      <c r="CB19" s="133"/>
      <c r="CC19" s="133"/>
      <c r="CD19" s="133"/>
      <c r="CE19" s="133"/>
      <c r="CF19" s="133"/>
      <c r="CG19" s="133"/>
      <c r="CH19" s="133"/>
      <c r="CI19" s="133"/>
      <c r="CJ19" s="133"/>
      <c r="CK19" s="133"/>
      <c r="CL19" s="133"/>
      <c r="CM19" s="133"/>
      <c r="CN19" s="133"/>
      <c r="CO19" s="133"/>
      <c r="CP19" s="133"/>
      <c r="CQ19" s="133"/>
      <c r="CR19" s="133"/>
      <c r="CS19" s="133"/>
      <c r="CT19" s="133"/>
      <c r="CU19" s="133"/>
      <c r="CV19" s="133"/>
      <c r="CW19" s="133"/>
      <c r="CX19" s="133"/>
      <c r="CY19" s="135"/>
      <c r="CZ19" s="135"/>
      <c r="DA19" s="102"/>
      <c r="DB19" s="102"/>
      <c r="DC19" s="102"/>
      <c r="DD19" s="102"/>
      <c r="DE19" s="102"/>
      <c r="DF19" s="102"/>
      <c r="DG19" s="102"/>
      <c r="DH19" s="102"/>
      <c r="DI19" s="102"/>
    </row>
    <row r="20" spans="2:113" ht="18" customHeight="1" x14ac:dyDescent="0.4">
      <c r="B20" s="124">
        <v>10</v>
      </c>
      <c r="C20" s="125"/>
      <c r="D20" s="125"/>
      <c r="E20" s="126" t="s">
        <v>22</v>
      </c>
      <c r="F20" s="127"/>
      <c r="G20" s="128">
        <v>5</v>
      </c>
      <c r="H20" s="136">
        <v>1</v>
      </c>
      <c r="I20" s="129">
        <f>IF(G20&gt;0,H20/G20,"")</f>
        <v>0.2</v>
      </c>
      <c r="J20" s="130">
        <f t="shared" ca="1" si="7"/>
        <v>44279</v>
      </c>
      <c r="K20" s="130">
        <f t="shared" ca="1" si="6"/>
        <v>44285</v>
      </c>
      <c r="L20" s="137"/>
      <c r="M20" s="137"/>
      <c r="N20" s="138"/>
      <c r="O20" s="133"/>
      <c r="P20" s="133"/>
      <c r="Q20" s="138"/>
      <c r="R20" s="135"/>
      <c r="S20" s="135"/>
      <c r="T20" s="135"/>
      <c r="U20" s="135"/>
      <c r="V20" s="134"/>
      <c r="W20" s="134"/>
      <c r="X20" s="134"/>
      <c r="Y20" s="134"/>
      <c r="Z20" s="134"/>
      <c r="AA20" s="134"/>
      <c r="AB20" s="134"/>
      <c r="AC20" s="134"/>
      <c r="AD20" s="134"/>
      <c r="AE20" s="134"/>
      <c r="AF20" s="134"/>
      <c r="AG20" s="134"/>
      <c r="AH20" s="134"/>
      <c r="AI20" s="134"/>
      <c r="AJ20" s="134"/>
      <c r="AK20" s="134"/>
      <c r="AL20" s="134"/>
      <c r="AM20" s="134"/>
      <c r="AN20" s="134"/>
      <c r="AO20" s="134"/>
      <c r="AP20" s="134"/>
      <c r="AQ20" s="134"/>
      <c r="AR20" s="134"/>
      <c r="AS20" s="134"/>
      <c r="AT20" s="134"/>
      <c r="AU20" s="134"/>
      <c r="AV20" s="134"/>
      <c r="AW20" s="134"/>
      <c r="AX20" s="134"/>
      <c r="AY20" s="134"/>
      <c r="AZ20" s="134"/>
      <c r="BA20" s="134"/>
      <c r="BB20" s="134"/>
      <c r="BC20" s="134"/>
      <c r="BD20" s="134"/>
      <c r="BE20" s="134"/>
      <c r="BF20" s="133"/>
      <c r="BG20" s="133"/>
      <c r="BH20" s="133"/>
      <c r="BI20" s="133"/>
      <c r="BJ20" s="133"/>
      <c r="BK20" s="133"/>
      <c r="BL20" s="133"/>
      <c r="BM20" s="133"/>
      <c r="BN20" s="133"/>
      <c r="BO20" s="133"/>
      <c r="BP20" s="133"/>
      <c r="BQ20" s="133"/>
      <c r="BR20" s="133"/>
      <c r="BS20" s="133"/>
      <c r="BT20" s="133"/>
      <c r="BU20" s="133"/>
      <c r="BV20" s="133"/>
      <c r="BW20" s="133"/>
      <c r="BX20" s="133"/>
      <c r="BY20" s="133"/>
      <c r="BZ20" s="133"/>
      <c r="CA20" s="133"/>
      <c r="CB20" s="133"/>
      <c r="CC20" s="133"/>
      <c r="CD20" s="133"/>
      <c r="CE20" s="133"/>
      <c r="CF20" s="133"/>
      <c r="CG20" s="133"/>
      <c r="CH20" s="133"/>
      <c r="CI20" s="133"/>
      <c r="CJ20" s="133"/>
      <c r="CK20" s="133"/>
      <c r="CL20" s="133"/>
      <c r="CM20" s="133"/>
      <c r="CN20" s="133"/>
      <c r="CO20" s="133"/>
      <c r="CP20" s="133"/>
      <c r="CQ20" s="133"/>
      <c r="CR20" s="133"/>
      <c r="CS20" s="133"/>
      <c r="CT20" s="133"/>
      <c r="CU20" s="133"/>
      <c r="CV20" s="133"/>
      <c r="CW20" s="133"/>
      <c r="CX20" s="133"/>
      <c r="CY20" s="135"/>
      <c r="CZ20" s="135"/>
      <c r="DA20" s="102"/>
      <c r="DB20" s="102"/>
      <c r="DC20" s="102"/>
      <c r="DD20" s="102"/>
      <c r="DE20" s="102"/>
      <c r="DF20" s="102"/>
      <c r="DG20" s="102"/>
      <c r="DH20" s="102"/>
      <c r="DI20" s="102"/>
    </row>
    <row r="21" spans="2:113" ht="18" customHeight="1" x14ac:dyDescent="0.4">
      <c r="B21" s="124">
        <v>11</v>
      </c>
      <c r="C21" s="125"/>
      <c r="D21" s="125"/>
      <c r="E21" s="126" t="s">
        <v>23</v>
      </c>
      <c r="F21" s="127"/>
      <c r="G21" s="128">
        <v>5</v>
      </c>
      <c r="H21" s="136">
        <v>1</v>
      </c>
      <c r="I21" s="129">
        <f>IF(G21&gt;0,H21/G21,"")</f>
        <v>0.2</v>
      </c>
      <c r="J21" s="130">
        <f t="shared" ca="1" si="7"/>
        <v>44279</v>
      </c>
      <c r="K21" s="130">
        <f t="shared" ca="1" si="6"/>
        <v>44285</v>
      </c>
      <c r="L21" s="137"/>
      <c r="M21" s="137"/>
      <c r="N21" s="133"/>
      <c r="O21" s="133"/>
      <c r="P21" s="133"/>
      <c r="Q21" s="133"/>
      <c r="R21" s="135"/>
      <c r="S21" s="135"/>
      <c r="T21" s="135"/>
      <c r="U21" s="135"/>
      <c r="V21" s="134"/>
      <c r="W21" s="134"/>
      <c r="X21" s="134"/>
      <c r="Y21" s="134"/>
      <c r="Z21" s="134"/>
      <c r="AA21" s="134"/>
      <c r="AB21" s="134"/>
      <c r="AC21" s="134"/>
      <c r="AD21" s="134"/>
      <c r="AE21" s="134"/>
      <c r="AF21" s="134"/>
      <c r="AG21" s="134"/>
      <c r="AH21" s="134"/>
      <c r="AI21" s="134"/>
      <c r="AJ21" s="134"/>
      <c r="AK21" s="134"/>
      <c r="AL21" s="134"/>
      <c r="AM21" s="134"/>
      <c r="AN21" s="134"/>
      <c r="AO21" s="134"/>
      <c r="AP21" s="134"/>
      <c r="AQ21" s="134"/>
      <c r="AR21" s="134"/>
      <c r="AS21" s="134"/>
      <c r="AT21" s="134"/>
      <c r="AU21" s="134"/>
      <c r="AV21" s="134"/>
      <c r="AW21" s="134"/>
      <c r="AX21" s="134"/>
      <c r="AY21" s="134"/>
      <c r="AZ21" s="134"/>
      <c r="BA21" s="134"/>
      <c r="BB21" s="134"/>
      <c r="BC21" s="134"/>
      <c r="BD21" s="134"/>
      <c r="BE21" s="134"/>
      <c r="BF21" s="133"/>
      <c r="BG21" s="133"/>
      <c r="BH21" s="133"/>
      <c r="BI21" s="133"/>
      <c r="BJ21" s="147"/>
      <c r="BK21" s="147"/>
      <c r="BL21" s="147"/>
      <c r="BM21" s="147"/>
      <c r="BN21" s="147"/>
      <c r="BO21" s="133"/>
      <c r="BP21" s="133"/>
      <c r="BQ21" s="136"/>
      <c r="BR21" s="136"/>
      <c r="BS21" s="136"/>
      <c r="BT21" s="136"/>
      <c r="BU21" s="136"/>
      <c r="BV21" s="133"/>
      <c r="BW21" s="133"/>
      <c r="BX21" s="133"/>
      <c r="BY21" s="133"/>
      <c r="BZ21" s="133"/>
      <c r="CA21" s="133"/>
      <c r="CB21" s="133"/>
      <c r="CC21" s="133"/>
      <c r="CD21" s="133"/>
      <c r="CE21" s="133"/>
      <c r="CF21" s="133"/>
      <c r="CG21" s="133"/>
      <c r="CH21" s="133"/>
      <c r="CI21" s="133"/>
      <c r="CJ21" s="133"/>
      <c r="CK21" s="133"/>
      <c r="CL21" s="133"/>
      <c r="CM21" s="133"/>
      <c r="CN21" s="133"/>
      <c r="CO21" s="133"/>
      <c r="CP21" s="133"/>
      <c r="CQ21" s="133"/>
      <c r="CR21" s="133"/>
      <c r="CS21" s="133"/>
      <c r="CT21" s="133"/>
      <c r="CU21" s="133"/>
      <c r="CV21" s="133"/>
      <c r="CW21" s="133"/>
      <c r="CX21" s="133"/>
      <c r="CY21" s="135"/>
      <c r="CZ21" s="135"/>
      <c r="DA21" s="102"/>
      <c r="DB21" s="102"/>
      <c r="DC21" s="102"/>
      <c r="DD21" s="102"/>
      <c r="DE21" s="102"/>
      <c r="DF21" s="102"/>
      <c r="DG21" s="102"/>
      <c r="DH21" s="102"/>
      <c r="DI21" s="102"/>
    </row>
    <row r="22" spans="2:113" ht="18" customHeight="1" x14ac:dyDescent="0.4">
      <c r="B22" s="124">
        <v>12</v>
      </c>
      <c r="C22" s="125"/>
      <c r="D22" s="125"/>
      <c r="E22" s="126" t="s">
        <v>24</v>
      </c>
      <c r="F22" s="127"/>
      <c r="G22" s="128">
        <v>5</v>
      </c>
      <c r="H22" s="140">
        <v>4</v>
      </c>
      <c r="I22" s="129">
        <f>IF(G22&gt;0,H22/G22,"")</f>
        <v>0.8</v>
      </c>
      <c r="J22" s="130">
        <f t="shared" ca="1" si="7"/>
        <v>44279</v>
      </c>
      <c r="K22" s="130">
        <f t="shared" ca="1" si="6"/>
        <v>44285</v>
      </c>
      <c r="L22" s="137"/>
      <c r="M22" s="137"/>
      <c r="N22" s="144"/>
      <c r="O22" s="133"/>
      <c r="P22" s="133"/>
      <c r="Q22" s="133"/>
      <c r="R22" s="135"/>
      <c r="S22" s="135"/>
      <c r="T22" s="135"/>
      <c r="U22" s="135"/>
      <c r="V22" s="139"/>
      <c r="W22" s="139"/>
      <c r="X22" s="139"/>
      <c r="Y22" s="139"/>
      <c r="Z22" s="139"/>
      <c r="AA22" s="134"/>
      <c r="AB22" s="139"/>
      <c r="AC22" s="139"/>
      <c r="AD22" s="139"/>
      <c r="AE22" s="139"/>
      <c r="AF22" s="139"/>
      <c r="AG22" s="139"/>
      <c r="AH22" s="139"/>
      <c r="AI22" s="139"/>
      <c r="AJ22" s="139"/>
      <c r="AK22" s="139"/>
      <c r="AL22" s="139"/>
      <c r="AM22" s="139"/>
      <c r="AN22" s="139"/>
      <c r="AO22" s="139"/>
      <c r="AP22" s="139"/>
      <c r="AQ22" s="139"/>
      <c r="AR22" s="139"/>
      <c r="AS22" s="139"/>
      <c r="AT22" s="139"/>
      <c r="AU22" s="139"/>
      <c r="AV22" s="139"/>
      <c r="AW22" s="139"/>
      <c r="AX22" s="139"/>
      <c r="AY22" s="139"/>
      <c r="AZ22" s="139"/>
      <c r="BA22" s="139"/>
      <c r="BB22" s="139"/>
      <c r="BC22" s="139"/>
      <c r="BD22" s="139"/>
      <c r="BE22" s="139"/>
      <c r="BF22" s="133"/>
      <c r="BG22" s="133"/>
      <c r="BH22" s="133"/>
      <c r="BI22" s="133"/>
      <c r="BJ22" s="133"/>
      <c r="BK22" s="133"/>
      <c r="BL22" s="133"/>
      <c r="BM22" s="133"/>
      <c r="BN22" s="133"/>
      <c r="BO22" s="133"/>
      <c r="BP22" s="133"/>
      <c r="BQ22" s="133"/>
      <c r="BR22" s="133"/>
      <c r="BS22" s="133"/>
      <c r="BT22" s="133"/>
      <c r="BU22" s="133"/>
      <c r="BV22" s="133"/>
      <c r="BW22" s="133"/>
      <c r="BX22" s="133"/>
      <c r="BY22" s="133"/>
      <c r="BZ22" s="133"/>
      <c r="CA22" s="133"/>
      <c r="CB22" s="133"/>
      <c r="CC22" s="133"/>
      <c r="CD22" s="133"/>
      <c r="CE22" s="133"/>
      <c r="CF22" s="133"/>
      <c r="CG22" s="133"/>
      <c r="CH22" s="133"/>
      <c r="CI22" s="133"/>
      <c r="CJ22" s="133"/>
      <c r="CK22" s="133"/>
      <c r="CL22" s="133"/>
      <c r="CM22" s="133"/>
      <c r="CN22" s="133"/>
      <c r="CO22" s="133"/>
      <c r="CP22" s="133"/>
      <c r="CQ22" s="133"/>
      <c r="CR22" s="133"/>
      <c r="CS22" s="133"/>
      <c r="CT22" s="133"/>
      <c r="CU22" s="133"/>
      <c r="CV22" s="133"/>
      <c r="CW22" s="133"/>
      <c r="CX22" s="133"/>
      <c r="CY22" s="135"/>
      <c r="CZ22" s="135"/>
      <c r="DA22" s="102"/>
      <c r="DB22" s="102"/>
      <c r="DC22" s="102"/>
      <c r="DD22" s="102"/>
      <c r="DE22" s="102"/>
      <c r="DF22" s="102"/>
      <c r="DG22" s="102"/>
      <c r="DH22" s="102"/>
      <c r="DI22" s="102"/>
    </row>
    <row r="23" spans="2:113" ht="18" customHeight="1" x14ac:dyDescent="0.4">
      <c r="B23" s="124">
        <v>13</v>
      </c>
      <c r="C23" s="125"/>
      <c r="D23" s="126"/>
      <c r="E23" s="126" t="s">
        <v>25</v>
      </c>
      <c r="F23" s="127"/>
      <c r="G23" s="128">
        <v>5</v>
      </c>
      <c r="H23" s="136">
        <v>4</v>
      </c>
      <c r="I23" s="129">
        <v>0.2</v>
      </c>
      <c r="J23" s="130">
        <f t="shared" ca="1" si="7"/>
        <v>44279</v>
      </c>
      <c r="K23" s="130">
        <f t="shared" ca="1" si="6"/>
        <v>44285</v>
      </c>
      <c r="L23" s="137"/>
      <c r="M23" s="137"/>
      <c r="N23" s="141"/>
      <c r="O23" s="133"/>
      <c r="P23" s="133"/>
      <c r="Q23" s="133"/>
      <c r="R23" s="133"/>
      <c r="S23" s="133"/>
      <c r="T23" s="135"/>
      <c r="U23" s="135"/>
      <c r="V23" s="134"/>
      <c r="W23" s="134"/>
      <c r="X23" s="134"/>
      <c r="Y23" s="134"/>
      <c r="Z23" s="134"/>
      <c r="AA23" s="134"/>
      <c r="AB23" s="134"/>
      <c r="AC23" s="134"/>
      <c r="AD23" s="134"/>
      <c r="AE23" s="134"/>
      <c r="AF23" s="134"/>
      <c r="AG23" s="134"/>
      <c r="AH23" s="134"/>
      <c r="AI23" s="134"/>
      <c r="AJ23" s="134"/>
      <c r="AK23" s="134"/>
      <c r="AL23" s="134"/>
      <c r="AM23" s="134"/>
      <c r="AN23" s="134"/>
      <c r="AO23" s="134"/>
      <c r="AP23" s="134"/>
      <c r="AQ23" s="134"/>
      <c r="AR23" s="134"/>
      <c r="AS23" s="134"/>
      <c r="AT23" s="134"/>
      <c r="AU23" s="134"/>
      <c r="AV23" s="134"/>
      <c r="AW23" s="134"/>
      <c r="AX23" s="134"/>
      <c r="AY23" s="134"/>
      <c r="AZ23" s="134"/>
      <c r="BA23" s="134"/>
      <c r="BB23" s="134"/>
      <c r="BC23" s="134"/>
      <c r="BD23" s="134"/>
      <c r="BE23" s="134"/>
      <c r="BF23" s="133"/>
      <c r="BG23" s="133"/>
      <c r="BH23" s="133"/>
      <c r="BI23" s="133"/>
      <c r="BJ23" s="133"/>
      <c r="BK23" s="133"/>
      <c r="BL23" s="133"/>
      <c r="BM23" s="133"/>
      <c r="BN23" s="133"/>
      <c r="BO23" s="133"/>
      <c r="BP23" s="133"/>
      <c r="BQ23" s="133"/>
      <c r="BR23" s="133"/>
      <c r="BS23" s="133"/>
      <c r="BT23" s="133"/>
      <c r="BU23" s="133"/>
      <c r="BV23" s="133"/>
      <c r="BW23" s="133"/>
      <c r="BX23" s="133"/>
      <c r="BY23" s="133"/>
      <c r="BZ23" s="133"/>
      <c r="CA23" s="133"/>
      <c r="CB23" s="133"/>
      <c r="CC23" s="133"/>
      <c r="CD23" s="133"/>
      <c r="CE23" s="133"/>
      <c r="CF23" s="133"/>
      <c r="CG23" s="133"/>
      <c r="CH23" s="133"/>
      <c r="CI23" s="133"/>
      <c r="CJ23" s="133"/>
      <c r="CK23" s="133"/>
      <c r="CL23" s="133"/>
      <c r="CM23" s="133"/>
      <c r="CN23" s="133"/>
      <c r="CO23" s="133"/>
      <c r="CP23" s="133"/>
      <c r="CQ23" s="133"/>
      <c r="CR23" s="133"/>
      <c r="CS23" s="133"/>
      <c r="CT23" s="133"/>
      <c r="CU23" s="133"/>
      <c r="CV23" s="133"/>
      <c r="CW23" s="133"/>
      <c r="CX23" s="133"/>
      <c r="CY23" s="135"/>
      <c r="CZ23" s="135"/>
      <c r="DA23" s="102"/>
      <c r="DB23" s="102"/>
      <c r="DC23" s="102"/>
      <c r="DD23" s="102"/>
      <c r="DE23" s="102"/>
      <c r="DF23" s="102"/>
      <c r="DG23" s="102"/>
      <c r="DH23" s="102"/>
      <c r="DI23" s="102"/>
    </row>
    <row r="24" spans="2:113" ht="18" customHeight="1" x14ac:dyDescent="0.4">
      <c r="B24" s="124">
        <v>14</v>
      </c>
      <c r="C24" s="125"/>
      <c r="D24" s="148"/>
      <c r="E24" s="126" t="s">
        <v>26</v>
      </c>
      <c r="F24" s="127"/>
      <c r="G24" s="128">
        <v>5</v>
      </c>
      <c r="H24" s="136">
        <v>1</v>
      </c>
      <c r="I24" s="129">
        <f>IF(G24&gt;0,H24/G24,"")</f>
        <v>0.2</v>
      </c>
      <c r="J24" s="130">
        <f ca="1">TODAY()+15</f>
        <v>44295</v>
      </c>
      <c r="K24" s="130">
        <f ca="1">TODAY()+20</f>
        <v>44300</v>
      </c>
      <c r="L24" s="131"/>
      <c r="M24" s="131"/>
      <c r="N24" s="145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146"/>
      <c r="AK24" s="146"/>
      <c r="AL24" s="146"/>
      <c r="AM24" s="146"/>
      <c r="AN24" s="146"/>
      <c r="AO24" s="146"/>
      <c r="AP24" s="146"/>
      <c r="AQ24" s="146"/>
      <c r="AR24" s="146"/>
      <c r="AS24" s="146"/>
      <c r="AT24" s="146"/>
      <c r="AU24" s="146"/>
      <c r="AV24" s="146"/>
      <c r="AW24" s="146"/>
      <c r="AX24" s="146"/>
      <c r="AY24" s="146"/>
      <c r="AZ24" s="146"/>
      <c r="BA24" s="146"/>
      <c r="BB24" s="146"/>
      <c r="BC24" s="146"/>
      <c r="BD24" s="146"/>
      <c r="BE24" s="146"/>
      <c r="BF24" s="146"/>
      <c r="BG24" s="146"/>
      <c r="BH24" s="146"/>
      <c r="BI24" s="146"/>
      <c r="BJ24" s="146"/>
      <c r="BK24" s="146"/>
      <c r="BL24" s="146"/>
      <c r="BM24" s="146"/>
      <c r="BN24" s="146"/>
      <c r="BO24" s="146"/>
      <c r="BP24" s="146"/>
      <c r="BQ24" s="146"/>
      <c r="BR24" s="146"/>
      <c r="BS24" s="146"/>
      <c r="BT24" s="146"/>
      <c r="BU24" s="146"/>
      <c r="BV24" s="146"/>
      <c r="BW24" s="146"/>
      <c r="BX24" s="146"/>
      <c r="BY24" s="146"/>
      <c r="BZ24" s="146"/>
      <c r="CA24" s="146"/>
      <c r="CB24" s="146"/>
      <c r="CC24" s="146"/>
      <c r="CD24" s="146"/>
      <c r="CE24" s="146"/>
      <c r="CF24" s="146"/>
      <c r="CG24" s="146"/>
      <c r="CH24" s="146"/>
      <c r="CI24" s="146"/>
      <c r="CJ24" s="146"/>
      <c r="CK24" s="146"/>
      <c r="CL24" s="146"/>
      <c r="CM24" s="146"/>
      <c r="CN24" s="146"/>
      <c r="CO24" s="146"/>
      <c r="CP24" s="146"/>
      <c r="CQ24" s="146"/>
      <c r="CR24" s="146"/>
      <c r="CS24" s="146"/>
      <c r="CT24" s="146"/>
      <c r="CU24" s="146"/>
      <c r="CV24" s="146"/>
      <c r="CW24" s="146"/>
      <c r="CX24" s="146"/>
      <c r="CY24" s="146"/>
      <c r="CZ24" s="146"/>
    </row>
    <row r="25" spans="2:113" ht="18" customHeight="1" x14ac:dyDescent="0.4">
      <c r="B25" s="124">
        <v>15</v>
      </c>
      <c r="C25" s="125"/>
      <c r="D25" s="126"/>
      <c r="E25" s="126" t="s">
        <v>27</v>
      </c>
      <c r="F25" s="127"/>
      <c r="G25" s="128">
        <v>5</v>
      </c>
      <c r="H25" s="136">
        <v>1</v>
      </c>
      <c r="I25" s="129">
        <f>IF(G25&gt;0,H25/G25,"")</f>
        <v>0.2</v>
      </c>
      <c r="J25" s="130">
        <f t="shared" ca="1" si="7"/>
        <v>44279</v>
      </c>
      <c r="K25" s="130">
        <f t="shared" ca="1" si="6"/>
        <v>44285</v>
      </c>
      <c r="L25" s="131"/>
      <c r="M25" s="131"/>
      <c r="N25" s="133"/>
      <c r="O25" s="133"/>
      <c r="P25" s="133"/>
      <c r="Q25" s="133"/>
      <c r="R25" s="135"/>
      <c r="S25" s="135"/>
      <c r="T25" s="133"/>
      <c r="U25" s="133"/>
      <c r="V25" s="134"/>
      <c r="W25" s="134"/>
      <c r="X25" s="134"/>
      <c r="Y25" s="134"/>
      <c r="Z25" s="134"/>
      <c r="AA25" s="134"/>
      <c r="AB25" s="134"/>
      <c r="AC25" s="134"/>
      <c r="AD25" s="134"/>
      <c r="AE25" s="134"/>
      <c r="AF25" s="134"/>
      <c r="AG25" s="134"/>
      <c r="AH25" s="134"/>
      <c r="AI25" s="134"/>
      <c r="AJ25" s="134"/>
      <c r="AK25" s="134"/>
      <c r="AL25" s="134"/>
      <c r="AM25" s="134"/>
      <c r="AN25" s="134"/>
      <c r="AO25" s="134"/>
      <c r="AP25" s="134"/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  <c r="BC25" s="134"/>
      <c r="BD25" s="134"/>
      <c r="BE25" s="134"/>
      <c r="BF25" s="133"/>
      <c r="BG25" s="133"/>
      <c r="BH25" s="133"/>
      <c r="BI25" s="133"/>
      <c r="BJ25" s="133"/>
      <c r="BK25" s="133"/>
      <c r="BL25" s="133"/>
      <c r="BM25" s="133"/>
      <c r="BN25" s="133"/>
      <c r="BO25" s="133"/>
      <c r="BP25" s="133"/>
      <c r="BQ25" s="133"/>
      <c r="BR25" s="133"/>
      <c r="BS25" s="133"/>
      <c r="BT25" s="133"/>
      <c r="BU25" s="133"/>
      <c r="BV25" s="133"/>
      <c r="BW25" s="133"/>
      <c r="BX25" s="133"/>
      <c r="BY25" s="133"/>
      <c r="BZ25" s="133"/>
      <c r="CA25" s="133"/>
      <c r="CB25" s="133"/>
      <c r="CC25" s="133"/>
      <c r="CD25" s="133"/>
      <c r="CE25" s="133"/>
      <c r="CF25" s="133"/>
      <c r="CG25" s="133"/>
      <c r="CH25" s="133"/>
      <c r="CI25" s="133"/>
      <c r="CJ25" s="133"/>
      <c r="CK25" s="133"/>
      <c r="CL25" s="133"/>
      <c r="CM25" s="133"/>
      <c r="CN25" s="133"/>
      <c r="CO25" s="133"/>
      <c r="CP25" s="133"/>
      <c r="CQ25" s="133"/>
      <c r="CR25" s="133"/>
      <c r="CS25" s="133"/>
      <c r="CT25" s="133"/>
      <c r="CU25" s="133"/>
      <c r="CV25" s="133"/>
      <c r="CW25" s="133"/>
      <c r="CX25" s="133"/>
      <c r="CY25" s="135"/>
      <c r="CZ25" s="135"/>
      <c r="DA25" s="102"/>
      <c r="DB25" s="102"/>
      <c r="DC25" s="102"/>
      <c r="DD25" s="102"/>
      <c r="DE25" s="102"/>
      <c r="DF25" s="102"/>
      <c r="DG25" s="102"/>
      <c r="DH25" s="102"/>
      <c r="DI25" s="102"/>
    </row>
    <row r="26" spans="2:113" ht="18" customHeight="1" x14ac:dyDescent="0.4">
      <c r="B26" s="124">
        <v>16</v>
      </c>
      <c r="C26" s="125"/>
      <c r="D26" s="126"/>
      <c r="E26" s="126" t="s">
        <v>28</v>
      </c>
      <c r="F26" s="127"/>
      <c r="G26" s="128">
        <v>5</v>
      </c>
      <c r="H26" s="136"/>
      <c r="I26" s="129">
        <f>IF(G26&gt;0,H26/G26,"")</f>
        <v>0</v>
      </c>
      <c r="J26" s="130">
        <f ca="1">TODAY()-3</f>
        <v>44277</v>
      </c>
      <c r="K26" s="130">
        <f ca="1">TODAY()+3</f>
        <v>44283</v>
      </c>
      <c r="L26" s="131"/>
      <c r="M26" s="131"/>
      <c r="N26" s="141"/>
      <c r="O26" s="133"/>
      <c r="P26" s="133"/>
      <c r="Q26" s="133"/>
      <c r="R26" s="135"/>
      <c r="S26" s="135"/>
      <c r="T26" s="135"/>
      <c r="U26" s="135"/>
      <c r="V26" s="134"/>
      <c r="W26" s="134"/>
      <c r="X26" s="134"/>
      <c r="Y26" s="134"/>
      <c r="Z26" s="134"/>
      <c r="AA26" s="134"/>
      <c r="AB26" s="134"/>
      <c r="AC26" s="134"/>
      <c r="AD26" s="134"/>
      <c r="AE26" s="134"/>
      <c r="AF26" s="134"/>
      <c r="AG26" s="134"/>
      <c r="AH26" s="134"/>
      <c r="AI26" s="134"/>
      <c r="AJ26" s="134"/>
      <c r="AK26" s="134"/>
      <c r="AL26" s="134"/>
      <c r="AM26" s="134"/>
      <c r="AN26" s="134"/>
      <c r="AO26" s="134"/>
      <c r="AP26" s="134"/>
      <c r="AQ26" s="134"/>
      <c r="AR26" s="134"/>
      <c r="AS26" s="134"/>
      <c r="AT26" s="134"/>
      <c r="AU26" s="134"/>
      <c r="AV26" s="134"/>
      <c r="AW26" s="134"/>
      <c r="AX26" s="134"/>
      <c r="AY26" s="134"/>
      <c r="AZ26" s="134"/>
      <c r="BA26" s="134"/>
      <c r="BB26" s="134"/>
      <c r="BC26" s="134"/>
      <c r="BD26" s="134"/>
      <c r="BE26" s="134"/>
      <c r="BF26" s="133"/>
      <c r="BG26" s="133"/>
      <c r="BH26" s="133"/>
      <c r="BI26" s="133"/>
      <c r="BJ26" s="133"/>
      <c r="BK26" s="133"/>
      <c r="BL26" s="133"/>
      <c r="BM26" s="133"/>
      <c r="BN26" s="133"/>
      <c r="BO26" s="133"/>
      <c r="BP26" s="133"/>
      <c r="BQ26" s="133"/>
      <c r="BR26" s="133"/>
      <c r="BS26" s="133"/>
      <c r="BT26" s="133"/>
      <c r="BU26" s="133"/>
      <c r="BV26" s="133"/>
      <c r="BW26" s="133"/>
      <c r="BX26" s="133"/>
      <c r="BY26" s="133"/>
      <c r="BZ26" s="133"/>
      <c r="CA26" s="133"/>
      <c r="CB26" s="133"/>
      <c r="CC26" s="133"/>
      <c r="CD26" s="133"/>
      <c r="CE26" s="133"/>
      <c r="CF26" s="133"/>
      <c r="CG26" s="133"/>
      <c r="CH26" s="133"/>
      <c r="CI26" s="133"/>
      <c r="CJ26" s="133"/>
      <c r="CK26" s="133"/>
      <c r="CL26" s="133"/>
      <c r="CM26" s="133"/>
      <c r="CN26" s="133"/>
      <c r="CO26" s="133"/>
      <c r="CP26" s="133"/>
      <c r="CQ26" s="133"/>
      <c r="CR26" s="133"/>
      <c r="CS26" s="133"/>
      <c r="CT26" s="133"/>
      <c r="CU26" s="133"/>
      <c r="CV26" s="133"/>
      <c r="CW26" s="133"/>
      <c r="CX26" s="133"/>
      <c r="CY26" s="135"/>
      <c r="CZ26" s="135"/>
      <c r="DA26" s="102"/>
      <c r="DB26" s="102"/>
      <c r="DC26" s="102"/>
      <c r="DD26" s="102"/>
      <c r="DE26" s="102"/>
      <c r="DF26" s="102"/>
      <c r="DG26" s="102"/>
      <c r="DH26" s="102"/>
      <c r="DI26" s="102"/>
    </row>
    <row r="27" spans="2:113" ht="18" customHeight="1" x14ac:dyDescent="0.4">
      <c r="B27" s="124">
        <v>17</v>
      </c>
      <c r="C27" s="125"/>
      <c r="D27" s="126"/>
      <c r="E27" s="126" t="s">
        <v>29</v>
      </c>
      <c r="F27" s="127"/>
      <c r="G27" s="128">
        <v>5</v>
      </c>
      <c r="H27" s="140">
        <v>5</v>
      </c>
      <c r="I27" s="129">
        <f>IF(G27&gt;0,H27/G27,"")</f>
        <v>1</v>
      </c>
      <c r="J27" s="130">
        <f ca="1">TODAY()+3</f>
        <v>44283</v>
      </c>
      <c r="K27" s="130">
        <f ca="1">TODAY()+20</f>
        <v>44300</v>
      </c>
      <c r="L27" s="131"/>
      <c r="M27" s="131"/>
      <c r="N27" s="141"/>
      <c r="O27" s="133"/>
      <c r="P27" s="133"/>
      <c r="Q27" s="133"/>
      <c r="R27" s="133"/>
      <c r="S27" s="133"/>
      <c r="T27" s="135"/>
      <c r="U27" s="135"/>
      <c r="V27" s="134"/>
      <c r="W27" s="134"/>
      <c r="X27" s="134"/>
      <c r="Y27" s="134"/>
      <c r="Z27" s="134"/>
      <c r="AA27" s="134"/>
      <c r="AB27" s="134"/>
      <c r="AC27" s="134"/>
      <c r="AD27" s="134"/>
      <c r="AE27" s="134"/>
      <c r="AF27" s="134"/>
      <c r="AG27" s="134"/>
      <c r="AH27" s="134"/>
      <c r="AI27" s="134"/>
      <c r="AJ27" s="134"/>
      <c r="AK27" s="134"/>
      <c r="AL27" s="134"/>
      <c r="AM27" s="134"/>
      <c r="AN27" s="134"/>
      <c r="AO27" s="134"/>
      <c r="AP27" s="134"/>
      <c r="AQ27" s="134"/>
      <c r="AR27" s="134"/>
      <c r="AS27" s="134"/>
      <c r="AT27" s="134"/>
      <c r="AU27" s="134"/>
      <c r="AV27" s="134"/>
      <c r="AW27" s="134"/>
      <c r="AX27" s="134"/>
      <c r="AY27" s="134"/>
      <c r="AZ27" s="134"/>
      <c r="BA27" s="134"/>
      <c r="BB27" s="134"/>
      <c r="BC27" s="134"/>
      <c r="BD27" s="134"/>
      <c r="BE27" s="134"/>
      <c r="BF27" s="133"/>
      <c r="BG27" s="133"/>
      <c r="BH27" s="133"/>
      <c r="BI27" s="133"/>
      <c r="BJ27" s="133"/>
      <c r="BK27" s="133"/>
      <c r="BL27" s="133"/>
      <c r="BM27" s="133"/>
      <c r="BN27" s="133"/>
      <c r="BO27" s="133"/>
      <c r="BP27" s="133"/>
      <c r="BQ27" s="133"/>
      <c r="BR27" s="133"/>
      <c r="BS27" s="133"/>
      <c r="BT27" s="133"/>
      <c r="BU27" s="133"/>
      <c r="BV27" s="133"/>
      <c r="BW27" s="133"/>
      <c r="BX27" s="133"/>
      <c r="BY27" s="133"/>
      <c r="BZ27" s="133"/>
      <c r="CA27" s="133"/>
      <c r="CB27" s="133"/>
      <c r="CC27" s="133"/>
      <c r="CD27" s="133"/>
      <c r="CE27" s="133"/>
      <c r="CF27" s="133"/>
      <c r="CG27" s="133"/>
      <c r="CH27" s="133"/>
      <c r="CI27" s="133"/>
      <c r="CJ27" s="133"/>
      <c r="CK27" s="133"/>
      <c r="CL27" s="133"/>
      <c r="CM27" s="133"/>
      <c r="CN27" s="133"/>
      <c r="CO27" s="133"/>
      <c r="CP27" s="133"/>
      <c r="CQ27" s="133"/>
      <c r="CR27" s="133"/>
      <c r="CS27" s="133"/>
      <c r="CT27" s="133"/>
      <c r="CU27" s="133"/>
      <c r="CV27" s="133"/>
      <c r="CW27" s="133"/>
      <c r="CX27" s="133"/>
      <c r="CY27" s="135"/>
      <c r="CZ27" s="135"/>
      <c r="DA27" s="102"/>
      <c r="DB27" s="102"/>
      <c r="DC27" s="102"/>
      <c r="DD27" s="102"/>
      <c r="DE27" s="102"/>
      <c r="DF27" s="102"/>
      <c r="DG27" s="102"/>
      <c r="DH27" s="102"/>
      <c r="DI27" s="102"/>
    </row>
    <row r="28" spans="2:113" ht="18" customHeight="1" x14ac:dyDescent="0.4">
      <c r="B28" s="124">
        <v>18</v>
      </c>
      <c r="C28" s="125"/>
      <c r="D28" s="126"/>
      <c r="E28" s="126" t="s">
        <v>30</v>
      </c>
      <c r="F28" s="127"/>
      <c r="G28" s="128">
        <v>5</v>
      </c>
      <c r="H28" s="136">
        <v>5</v>
      </c>
      <c r="I28" s="129">
        <f>IF(G28&gt;0,H28/G28,"")</f>
        <v>1</v>
      </c>
      <c r="J28" s="130">
        <f t="shared" ca="1" si="7"/>
        <v>44279</v>
      </c>
      <c r="K28" s="130">
        <f t="shared" ca="1" si="6"/>
        <v>44285</v>
      </c>
      <c r="L28" s="137"/>
      <c r="M28" s="137"/>
      <c r="N28" s="141"/>
      <c r="O28" s="133"/>
      <c r="P28" s="133"/>
      <c r="Q28" s="133"/>
      <c r="R28" s="133"/>
      <c r="S28" s="133"/>
      <c r="T28" s="135"/>
      <c r="U28" s="135"/>
      <c r="V28" s="134"/>
      <c r="W28" s="134"/>
      <c r="X28" s="134"/>
      <c r="Y28" s="134"/>
      <c r="Z28" s="134"/>
      <c r="AA28" s="134"/>
      <c r="AB28" s="134"/>
      <c r="AC28" s="134"/>
      <c r="AD28" s="134"/>
      <c r="AE28" s="134"/>
      <c r="AF28" s="134"/>
      <c r="AG28" s="134"/>
      <c r="AH28" s="134"/>
      <c r="AI28" s="134"/>
      <c r="AJ28" s="134"/>
      <c r="AK28" s="134"/>
      <c r="AL28" s="134"/>
      <c r="AM28" s="134"/>
      <c r="AN28" s="134"/>
      <c r="AO28" s="134"/>
      <c r="AP28" s="134"/>
      <c r="AQ28" s="134"/>
      <c r="AR28" s="134"/>
      <c r="AS28" s="134"/>
      <c r="AT28" s="134"/>
      <c r="AU28" s="134"/>
      <c r="AV28" s="134"/>
      <c r="AW28" s="134"/>
      <c r="AX28" s="134"/>
      <c r="AY28" s="134"/>
      <c r="AZ28" s="134"/>
      <c r="BA28" s="134"/>
      <c r="BB28" s="134"/>
      <c r="BC28" s="134"/>
      <c r="BD28" s="134"/>
      <c r="BE28" s="134"/>
      <c r="BF28" s="133"/>
      <c r="BG28" s="133"/>
      <c r="BH28" s="133"/>
      <c r="BI28" s="133"/>
      <c r="BJ28" s="133"/>
      <c r="BK28" s="133"/>
      <c r="BL28" s="133"/>
      <c r="BM28" s="133"/>
      <c r="BN28" s="133"/>
      <c r="BO28" s="133"/>
      <c r="BP28" s="133"/>
      <c r="BQ28" s="133"/>
      <c r="BR28" s="133"/>
      <c r="BS28" s="133"/>
      <c r="BT28" s="133"/>
      <c r="BU28" s="133"/>
      <c r="BV28" s="133"/>
      <c r="BW28" s="133"/>
      <c r="BX28" s="133"/>
      <c r="BY28" s="133"/>
      <c r="BZ28" s="133"/>
      <c r="CA28" s="133"/>
      <c r="CB28" s="133"/>
      <c r="CC28" s="133"/>
      <c r="CD28" s="133"/>
      <c r="CE28" s="133"/>
      <c r="CF28" s="133"/>
      <c r="CG28" s="133"/>
      <c r="CH28" s="133"/>
      <c r="CI28" s="133"/>
      <c r="CJ28" s="133"/>
      <c r="CK28" s="133"/>
      <c r="CL28" s="133"/>
      <c r="CM28" s="133"/>
      <c r="CN28" s="133"/>
      <c r="CO28" s="133"/>
      <c r="CP28" s="133"/>
      <c r="CQ28" s="133"/>
      <c r="CR28" s="133"/>
      <c r="CS28" s="133"/>
      <c r="CT28" s="133"/>
      <c r="CU28" s="133"/>
      <c r="CV28" s="133"/>
      <c r="CW28" s="133"/>
      <c r="CX28" s="133"/>
      <c r="CY28" s="135"/>
      <c r="CZ28" s="135"/>
      <c r="DA28" s="102"/>
      <c r="DB28" s="102"/>
      <c r="DC28" s="102"/>
      <c r="DD28" s="102"/>
      <c r="DE28" s="102"/>
      <c r="DF28" s="102"/>
      <c r="DG28" s="102"/>
      <c r="DH28" s="102"/>
      <c r="DI28" s="102"/>
    </row>
    <row r="29" spans="2:113" ht="18" customHeight="1" x14ac:dyDescent="0.4">
      <c r="B29" s="124">
        <v>19</v>
      </c>
      <c r="C29" s="125"/>
      <c r="D29" s="126"/>
      <c r="E29" s="126" t="s">
        <v>31</v>
      </c>
      <c r="F29" s="127"/>
      <c r="G29" s="128">
        <v>5</v>
      </c>
      <c r="H29" s="136">
        <v>5</v>
      </c>
      <c r="I29" s="129">
        <f>IF(G29&gt;0,H29/G29,"")</f>
        <v>1</v>
      </c>
      <c r="J29" s="130">
        <f t="shared" ca="1" si="7"/>
        <v>44279</v>
      </c>
      <c r="K29" s="130">
        <f ca="1">TODAY()+13</f>
        <v>44293</v>
      </c>
      <c r="L29" s="131"/>
      <c r="M29" s="131"/>
      <c r="N29" s="133"/>
      <c r="O29" s="133"/>
      <c r="P29" s="133"/>
      <c r="Q29" s="133"/>
      <c r="R29" s="135"/>
      <c r="S29" s="135"/>
      <c r="T29" s="133"/>
      <c r="U29" s="133"/>
      <c r="V29" s="139"/>
      <c r="W29" s="139"/>
      <c r="X29" s="139"/>
      <c r="Y29" s="139"/>
      <c r="Z29" s="139"/>
      <c r="AA29" s="139"/>
      <c r="AB29" s="139"/>
      <c r="AC29" s="139"/>
      <c r="AD29" s="139"/>
      <c r="AE29" s="139"/>
      <c r="AF29" s="139"/>
      <c r="AG29" s="139"/>
      <c r="AH29" s="139"/>
      <c r="AI29" s="139"/>
      <c r="AJ29" s="139"/>
      <c r="AK29" s="139"/>
      <c r="AL29" s="139"/>
      <c r="AM29" s="139"/>
      <c r="AN29" s="139"/>
      <c r="AO29" s="139"/>
      <c r="AP29" s="139"/>
      <c r="AQ29" s="139"/>
      <c r="AR29" s="139"/>
      <c r="AS29" s="139"/>
      <c r="AT29" s="139"/>
      <c r="AU29" s="139"/>
      <c r="AV29" s="139"/>
      <c r="AW29" s="139"/>
      <c r="AX29" s="139"/>
      <c r="AY29" s="139"/>
      <c r="AZ29" s="139"/>
      <c r="BA29" s="139"/>
      <c r="BB29" s="139"/>
      <c r="BC29" s="139"/>
      <c r="BD29" s="139"/>
      <c r="BE29" s="139"/>
      <c r="BF29" s="133"/>
      <c r="BG29" s="133"/>
      <c r="BH29" s="133"/>
      <c r="BI29" s="133"/>
      <c r="BJ29" s="133"/>
      <c r="BK29" s="133"/>
      <c r="BL29" s="133"/>
      <c r="BM29" s="133"/>
      <c r="BN29" s="133"/>
      <c r="BO29" s="133"/>
      <c r="BP29" s="133"/>
      <c r="BQ29" s="133"/>
      <c r="BR29" s="133"/>
      <c r="BS29" s="133"/>
      <c r="BT29" s="133"/>
      <c r="BU29" s="133"/>
      <c r="BV29" s="133"/>
      <c r="BW29" s="133"/>
      <c r="BX29" s="133"/>
      <c r="BY29" s="133"/>
      <c r="BZ29" s="133"/>
      <c r="CA29" s="133"/>
      <c r="CB29" s="133"/>
      <c r="CC29" s="133"/>
      <c r="CD29" s="133"/>
      <c r="CE29" s="133"/>
      <c r="CF29" s="133"/>
      <c r="CG29" s="133"/>
      <c r="CH29" s="133"/>
      <c r="CI29" s="133"/>
      <c r="CJ29" s="133"/>
      <c r="CK29" s="133"/>
      <c r="CL29" s="133"/>
      <c r="CM29" s="133"/>
      <c r="CN29" s="133"/>
      <c r="CO29" s="133"/>
      <c r="CP29" s="133"/>
      <c r="CQ29" s="133"/>
      <c r="CR29" s="133"/>
      <c r="CS29" s="133"/>
      <c r="CT29" s="133"/>
      <c r="CU29" s="133"/>
      <c r="CV29" s="133"/>
      <c r="CW29" s="133"/>
      <c r="CX29" s="133"/>
      <c r="CY29" s="135"/>
      <c r="CZ29" s="135"/>
      <c r="DA29" s="102"/>
      <c r="DB29" s="102"/>
      <c r="DC29" s="102"/>
      <c r="DD29" s="102"/>
      <c r="DE29" s="102"/>
      <c r="DF29" s="102"/>
      <c r="DG29" s="102"/>
      <c r="DH29" s="102"/>
      <c r="DI29" s="102"/>
    </row>
    <row r="30" spans="2:113" ht="18" customHeight="1" x14ac:dyDescent="0.4">
      <c r="B30" s="124">
        <v>20</v>
      </c>
      <c r="C30" s="125"/>
      <c r="D30" s="125"/>
      <c r="E30" s="126" t="s">
        <v>32</v>
      </c>
      <c r="F30" s="127"/>
      <c r="G30" s="128">
        <v>5</v>
      </c>
      <c r="H30" s="136">
        <v>1</v>
      </c>
      <c r="I30" s="129">
        <f>IF(G30&gt;0,H30/G30,"")</f>
        <v>0.2</v>
      </c>
      <c r="J30" s="130">
        <f t="shared" ca="1" si="7"/>
        <v>44279</v>
      </c>
      <c r="K30" s="130">
        <f t="shared" ca="1" si="6"/>
        <v>44285</v>
      </c>
      <c r="L30" s="137"/>
      <c r="M30" s="137"/>
      <c r="N30" s="133"/>
      <c r="O30" s="133"/>
      <c r="P30" s="133"/>
      <c r="Q30" s="133"/>
      <c r="R30" s="135"/>
      <c r="S30" s="135"/>
      <c r="T30" s="133"/>
      <c r="U30" s="133"/>
      <c r="V30" s="139"/>
      <c r="W30" s="139"/>
      <c r="X30" s="139"/>
      <c r="Y30" s="139"/>
      <c r="Z30" s="139"/>
      <c r="AA30" s="139"/>
      <c r="AB30" s="139"/>
      <c r="AC30" s="139"/>
      <c r="AD30" s="139"/>
      <c r="AE30" s="139"/>
      <c r="AF30" s="139"/>
      <c r="AG30" s="139"/>
      <c r="AH30" s="139"/>
      <c r="AI30" s="139"/>
      <c r="AJ30" s="139"/>
      <c r="AK30" s="139"/>
      <c r="AL30" s="139"/>
      <c r="AM30" s="139"/>
      <c r="AN30" s="139"/>
      <c r="AO30" s="139"/>
      <c r="AP30" s="139"/>
      <c r="AQ30" s="139"/>
      <c r="AR30" s="139"/>
      <c r="AS30" s="139"/>
      <c r="AT30" s="139"/>
      <c r="AU30" s="139"/>
      <c r="AV30" s="139"/>
      <c r="AW30" s="139"/>
      <c r="AX30" s="139"/>
      <c r="AY30" s="139"/>
      <c r="AZ30" s="139"/>
      <c r="BA30" s="139"/>
      <c r="BB30" s="139"/>
      <c r="BC30" s="139"/>
      <c r="BD30" s="139"/>
      <c r="BE30" s="139"/>
      <c r="BF30" s="133"/>
      <c r="BG30" s="133"/>
      <c r="BH30" s="133"/>
      <c r="BI30" s="133"/>
      <c r="BJ30" s="133"/>
      <c r="BK30" s="133"/>
      <c r="BL30" s="133"/>
      <c r="BM30" s="133"/>
      <c r="BN30" s="133"/>
      <c r="BO30" s="133"/>
      <c r="BP30" s="133"/>
      <c r="BQ30" s="133"/>
      <c r="BR30" s="133"/>
      <c r="BS30" s="133"/>
      <c r="BT30" s="133"/>
      <c r="BU30" s="133"/>
      <c r="BV30" s="133"/>
      <c r="BW30" s="133"/>
      <c r="BX30" s="133"/>
      <c r="BY30" s="133"/>
      <c r="BZ30" s="133"/>
      <c r="CA30" s="133"/>
      <c r="CB30" s="133"/>
      <c r="CC30" s="133"/>
      <c r="CD30" s="133"/>
      <c r="CE30" s="133"/>
      <c r="CF30" s="133"/>
      <c r="CG30" s="133"/>
      <c r="CH30" s="133"/>
      <c r="CI30" s="133"/>
      <c r="CJ30" s="133"/>
      <c r="CK30" s="133"/>
      <c r="CL30" s="133"/>
      <c r="CM30" s="133"/>
      <c r="CN30" s="133"/>
      <c r="CO30" s="133"/>
      <c r="CP30" s="133"/>
      <c r="CQ30" s="133"/>
      <c r="CR30" s="133"/>
      <c r="CS30" s="133"/>
      <c r="CT30" s="133"/>
      <c r="CU30" s="133"/>
      <c r="CV30" s="133"/>
      <c r="CW30" s="133"/>
      <c r="CX30" s="133"/>
      <c r="CY30" s="135"/>
      <c r="CZ30" s="135"/>
      <c r="DA30" s="102"/>
      <c r="DB30" s="102"/>
      <c r="DC30" s="102"/>
      <c r="DD30" s="102"/>
      <c r="DE30" s="102"/>
      <c r="DF30" s="102"/>
      <c r="DG30" s="102"/>
      <c r="DH30" s="102"/>
      <c r="DI30" s="102"/>
    </row>
    <row r="31" spans="2:113" ht="18" customHeight="1" x14ac:dyDescent="0.4">
      <c r="B31" s="124">
        <v>21</v>
      </c>
      <c r="C31" s="125"/>
      <c r="D31" s="126"/>
      <c r="E31" s="126" t="s">
        <v>33</v>
      </c>
      <c r="F31" s="127"/>
      <c r="G31" s="128">
        <v>5</v>
      </c>
      <c r="H31" s="136">
        <v>1</v>
      </c>
      <c r="I31" s="129">
        <f>IF(G31&gt;0,H31/G31,"")</f>
        <v>0.2</v>
      </c>
      <c r="J31" s="130">
        <f ca="1">TODAY()+5</f>
        <v>44285</v>
      </c>
      <c r="K31" s="130">
        <f ca="1">TODAY()+10</f>
        <v>44290</v>
      </c>
      <c r="L31" s="137"/>
      <c r="M31" s="137"/>
      <c r="N31" s="133"/>
      <c r="O31" s="133"/>
      <c r="P31" s="133"/>
      <c r="Q31" s="133"/>
      <c r="R31" s="135"/>
      <c r="S31" s="135"/>
      <c r="T31" s="133"/>
      <c r="U31" s="133"/>
      <c r="V31" s="139"/>
      <c r="W31" s="139"/>
      <c r="X31" s="139"/>
      <c r="Y31" s="139"/>
      <c r="Z31" s="139"/>
      <c r="AA31" s="139"/>
      <c r="AB31" s="139"/>
      <c r="AC31" s="139"/>
      <c r="AD31" s="139"/>
      <c r="AE31" s="139"/>
      <c r="AF31" s="139"/>
      <c r="AG31" s="139"/>
      <c r="AH31" s="139"/>
      <c r="AI31" s="139"/>
      <c r="AJ31" s="139"/>
      <c r="AK31" s="139"/>
      <c r="AL31" s="139"/>
      <c r="AM31" s="139"/>
      <c r="AN31" s="139"/>
      <c r="AO31" s="139"/>
      <c r="AP31" s="139"/>
      <c r="AQ31" s="139"/>
      <c r="AR31" s="139"/>
      <c r="AS31" s="139"/>
      <c r="AT31" s="139"/>
      <c r="AU31" s="139"/>
      <c r="AV31" s="139"/>
      <c r="AW31" s="139"/>
      <c r="AX31" s="139"/>
      <c r="AY31" s="139"/>
      <c r="AZ31" s="139"/>
      <c r="BA31" s="139"/>
      <c r="BB31" s="139"/>
      <c r="BC31" s="139"/>
      <c r="BD31" s="139"/>
      <c r="BE31" s="139"/>
      <c r="BF31" s="133"/>
      <c r="BG31" s="133"/>
      <c r="BH31" s="133"/>
      <c r="BI31" s="133"/>
      <c r="BJ31" s="133"/>
      <c r="BK31" s="133"/>
      <c r="BL31" s="133"/>
      <c r="BM31" s="133"/>
      <c r="BN31" s="133"/>
      <c r="BO31" s="133"/>
      <c r="BP31" s="133"/>
      <c r="BQ31" s="133"/>
      <c r="BR31" s="133"/>
      <c r="BS31" s="133"/>
      <c r="BT31" s="133"/>
      <c r="BU31" s="133"/>
      <c r="BV31" s="133"/>
      <c r="BW31" s="133"/>
      <c r="BX31" s="133"/>
      <c r="BY31" s="133"/>
      <c r="BZ31" s="133"/>
      <c r="CA31" s="133"/>
      <c r="CB31" s="133"/>
      <c r="CC31" s="133"/>
      <c r="CD31" s="133"/>
      <c r="CE31" s="133"/>
      <c r="CF31" s="133"/>
      <c r="CG31" s="133"/>
      <c r="CH31" s="133"/>
      <c r="CI31" s="133"/>
      <c r="CJ31" s="133"/>
      <c r="CK31" s="133"/>
      <c r="CL31" s="133"/>
      <c r="CM31" s="133"/>
      <c r="CN31" s="133"/>
      <c r="CO31" s="133"/>
      <c r="CP31" s="133"/>
      <c r="CQ31" s="133"/>
      <c r="CR31" s="133"/>
      <c r="CS31" s="133"/>
      <c r="CT31" s="133"/>
      <c r="CU31" s="133"/>
      <c r="CV31" s="133"/>
      <c r="CW31" s="133"/>
      <c r="CX31" s="133"/>
      <c r="CY31" s="135"/>
      <c r="CZ31" s="135"/>
      <c r="DA31" s="102"/>
      <c r="DB31" s="102"/>
      <c r="DC31" s="102"/>
      <c r="DD31" s="102"/>
      <c r="DE31" s="102"/>
      <c r="DF31" s="102"/>
      <c r="DG31" s="102"/>
      <c r="DH31" s="102"/>
      <c r="DI31" s="102"/>
    </row>
    <row r="32" spans="2:113" ht="18" customHeight="1" x14ac:dyDescent="0.4">
      <c r="B32" s="124">
        <v>22</v>
      </c>
      <c r="C32" s="125"/>
      <c r="D32" s="126"/>
      <c r="E32" s="126" t="s">
        <v>34</v>
      </c>
      <c r="F32" s="127"/>
      <c r="G32" s="128">
        <v>5</v>
      </c>
      <c r="H32" s="136">
        <v>5</v>
      </c>
      <c r="I32" s="129">
        <f>IF(G32&gt;0,H32/G32,"")</f>
        <v>1</v>
      </c>
      <c r="J32" s="130">
        <f ca="1">TODAY()</f>
        <v>44280</v>
      </c>
      <c r="K32" s="130">
        <f t="shared" ca="1" si="6"/>
        <v>44285</v>
      </c>
      <c r="L32" s="137"/>
      <c r="M32" s="137"/>
      <c r="N32" s="133"/>
      <c r="O32" s="133"/>
      <c r="P32" s="133"/>
      <c r="Q32" s="133"/>
      <c r="R32" s="135"/>
      <c r="S32" s="135"/>
      <c r="T32" s="133"/>
      <c r="U32" s="133"/>
      <c r="V32" s="139"/>
      <c r="W32" s="139"/>
      <c r="X32" s="139"/>
      <c r="Y32" s="139"/>
      <c r="Z32" s="139"/>
      <c r="AA32" s="139"/>
      <c r="AB32" s="139"/>
      <c r="AC32" s="139"/>
      <c r="AD32" s="139"/>
      <c r="AE32" s="139"/>
      <c r="AF32" s="139"/>
      <c r="AG32" s="139"/>
      <c r="AH32" s="139"/>
      <c r="AI32" s="139"/>
      <c r="AJ32" s="139"/>
      <c r="AK32" s="139"/>
      <c r="AL32" s="139"/>
      <c r="AM32" s="139"/>
      <c r="AN32" s="139"/>
      <c r="AO32" s="139"/>
      <c r="AP32" s="139"/>
      <c r="AQ32" s="139"/>
      <c r="AR32" s="139"/>
      <c r="AS32" s="139"/>
      <c r="AT32" s="139"/>
      <c r="AU32" s="139"/>
      <c r="AV32" s="139"/>
      <c r="AW32" s="139"/>
      <c r="AX32" s="139"/>
      <c r="AY32" s="139"/>
      <c r="AZ32" s="139"/>
      <c r="BA32" s="139"/>
      <c r="BB32" s="139"/>
      <c r="BC32" s="139"/>
      <c r="BD32" s="139"/>
      <c r="BE32" s="139"/>
      <c r="BF32" s="133"/>
      <c r="BG32" s="133"/>
      <c r="BH32" s="133"/>
      <c r="BI32" s="133"/>
      <c r="BJ32" s="133"/>
      <c r="BK32" s="133"/>
      <c r="BL32" s="133"/>
      <c r="BM32" s="133"/>
      <c r="BN32" s="133"/>
      <c r="BO32" s="133"/>
      <c r="BP32" s="133"/>
      <c r="BQ32" s="133"/>
      <c r="BR32" s="133"/>
      <c r="BS32" s="133"/>
      <c r="BT32" s="133"/>
      <c r="BU32" s="133"/>
      <c r="BV32" s="133"/>
      <c r="BW32" s="133"/>
      <c r="BX32" s="133"/>
      <c r="BY32" s="133"/>
      <c r="BZ32" s="133"/>
      <c r="CA32" s="133"/>
      <c r="CB32" s="133"/>
      <c r="CC32" s="133"/>
      <c r="CD32" s="133"/>
      <c r="CE32" s="133"/>
      <c r="CF32" s="133"/>
      <c r="CG32" s="133"/>
      <c r="CH32" s="133"/>
      <c r="CI32" s="133"/>
      <c r="CJ32" s="133"/>
      <c r="CK32" s="133"/>
      <c r="CL32" s="133"/>
      <c r="CM32" s="133"/>
      <c r="CN32" s="133"/>
      <c r="CO32" s="133"/>
      <c r="CP32" s="133"/>
      <c r="CQ32" s="133"/>
      <c r="CR32" s="133"/>
      <c r="CS32" s="133"/>
      <c r="CT32" s="133"/>
      <c r="CU32" s="133"/>
      <c r="CV32" s="133"/>
      <c r="CW32" s="133"/>
      <c r="CX32" s="133"/>
      <c r="CY32" s="135"/>
      <c r="CZ32" s="135"/>
      <c r="DA32" s="102"/>
      <c r="DB32" s="102"/>
      <c r="DC32" s="102"/>
      <c r="DD32" s="102"/>
      <c r="DE32" s="102"/>
      <c r="DF32" s="102"/>
      <c r="DG32" s="102"/>
      <c r="DH32" s="102"/>
      <c r="DI32" s="102"/>
    </row>
    <row r="33" spans="2:113" ht="18" customHeight="1" x14ac:dyDescent="0.4">
      <c r="B33" s="124">
        <v>23</v>
      </c>
      <c r="C33" s="125"/>
      <c r="D33" s="126"/>
      <c r="E33" s="126" t="s">
        <v>35</v>
      </c>
      <c r="F33" s="127"/>
      <c r="G33" s="128">
        <v>5</v>
      </c>
      <c r="H33" s="136">
        <v>5</v>
      </c>
      <c r="I33" s="129">
        <f>IF(G33&gt;0,H33/G33,"")</f>
        <v>1</v>
      </c>
      <c r="J33" s="130">
        <f t="shared" ref="J33:J34" ca="1" si="8">TODAY()</f>
        <v>44280</v>
      </c>
      <c r="K33" s="130">
        <f t="shared" ca="1" si="6"/>
        <v>44285</v>
      </c>
      <c r="L33" s="131"/>
      <c r="M33" s="131"/>
      <c r="N33" s="133"/>
      <c r="O33" s="133"/>
      <c r="P33" s="133"/>
      <c r="Q33" s="133"/>
      <c r="R33" s="135"/>
      <c r="S33" s="135"/>
      <c r="T33" s="135"/>
      <c r="U33" s="135"/>
      <c r="V33" s="134"/>
      <c r="W33" s="134"/>
      <c r="X33" s="134"/>
      <c r="Y33" s="134"/>
      <c r="Z33" s="134"/>
      <c r="AA33" s="134"/>
      <c r="AB33" s="134"/>
      <c r="AC33" s="134"/>
      <c r="AD33" s="134"/>
      <c r="AE33" s="134"/>
      <c r="AF33" s="134"/>
      <c r="AG33" s="134"/>
      <c r="AH33" s="134"/>
      <c r="AI33" s="134"/>
      <c r="AJ33" s="134"/>
      <c r="AK33" s="134"/>
      <c r="AL33" s="134"/>
      <c r="AM33" s="134"/>
      <c r="AN33" s="134"/>
      <c r="AO33" s="134"/>
      <c r="AP33" s="134"/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  <c r="BC33" s="134"/>
      <c r="BD33" s="134"/>
      <c r="BE33" s="134"/>
      <c r="BF33" s="133"/>
      <c r="BG33" s="133"/>
      <c r="BH33" s="133"/>
      <c r="BI33" s="133"/>
      <c r="BJ33" s="133"/>
      <c r="BK33" s="133"/>
      <c r="BL33" s="133"/>
      <c r="BM33" s="133"/>
      <c r="BN33" s="133"/>
      <c r="BO33" s="133"/>
      <c r="BP33" s="133"/>
      <c r="BQ33" s="133"/>
      <c r="BR33" s="133"/>
      <c r="BS33" s="133"/>
      <c r="BT33" s="133"/>
      <c r="BU33" s="133"/>
      <c r="BV33" s="133"/>
      <c r="BW33" s="133"/>
      <c r="BX33" s="147"/>
      <c r="BY33" s="147"/>
      <c r="BZ33" s="147"/>
      <c r="CA33" s="147"/>
      <c r="CB33" s="147"/>
      <c r="CC33" s="133"/>
      <c r="CD33" s="133"/>
      <c r="CE33" s="147"/>
      <c r="CF33" s="147"/>
      <c r="CG33" s="147"/>
      <c r="CH33" s="147"/>
      <c r="CI33" s="147"/>
      <c r="CJ33" s="133"/>
      <c r="CK33" s="133"/>
      <c r="CL33" s="147"/>
      <c r="CM33" s="147"/>
      <c r="CN33" s="147"/>
      <c r="CO33" s="147"/>
      <c r="CP33" s="147"/>
      <c r="CQ33" s="133"/>
      <c r="CR33" s="133"/>
      <c r="CS33" s="136"/>
      <c r="CT33" s="136"/>
      <c r="CU33" s="136"/>
      <c r="CV33" s="136"/>
      <c r="CW33" s="136"/>
      <c r="CX33" s="133"/>
      <c r="CY33" s="135"/>
      <c r="CZ33" s="135"/>
      <c r="DA33" s="102"/>
      <c r="DB33" s="102"/>
      <c r="DC33" s="102"/>
      <c r="DD33" s="102"/>
      <c r="DE33" s="102"/>
      <c r="DF33" s="102"/>
      <c r="DG33" s="102"/>
      <c r="DH33" s="102"/>
      <c r="DI33" s="102"/>
    </row>
    <row r="34" spans="2:113" ht="18" customHeight="1" x14ac:dyDescent="0.4">
      <c r="B34" s="124">
        <v>24</v>
      </c>
      <c r="C34" s="125"/>
      <c r="D34" s="126"/>
      <c r="E34" s="126" t="s">
        <v>36</v>
      </c>
      <c r="F34" s="127"/>
      <c r="G34" s="128">
        <v>5</v>
      </c>
      <c r="H34" s="140"/>
      <c r="I34" s="129">
        <f>IF(G34&gt;0,H34/G34,"")</f>
        <v>0</v>
      </c>
      <c r="J34" s="130">
        <f t="shared" ca="1" si="8"/>
        <v>44280</v>
      </c>
      <c r="K34" s="130">
        <f t="shared" ca="1" si="6"/>
        <v>44285</v>
      </c>
      <c r="L34" s="137"/>
      <c r="M34" s="137"/>
      <c r="N34" s="133"/>
      <c r="O34" s="133"/>
      <c r="P34" s="133"/>
      <c r="Q34" s="133"/>
      <c r="R34" s="135"/>
      <c r="S34" s="135"/>
      <c r="T34" s="135"/>
      <c r="U34" s="135"/>
      <c r="V34" s="134"/>
      <c r="W34" s="134"/>
      <c r="X34" s="134"/>
      <c r="Y34" s="134"/>
      <c r="Z34" s="134"/>
      <c r="AA34" s="134"/>
      <c r="AB34" s="134"/>
      <c r="AC34" s="134"/>
      <c r="AD34" s="134"/>
      <c r="AE34" s="134"/>
      <c r="AF34" s="134"/>
      <c r="AG34" s="134"/>
      <c r="AH34" s="134"/>
      <c r="AI34" s="134"/>
      <c r="AJ34" s="134"/>
      <c r="AK34" s="134"/>
      <c r="AL34" s="134"/>
      <c r="AM34" s="134"/>
      <c r="AN34" s="134"/>
      <c r="AO34" s="134"/>
      <c r="AP34" s="134"/>
      <c r="AQ34" s="134"/>
      <c r="AR34" s="134"/>
      <c r="AS34" s="134"/>
      <c r="AT34" s="134"/>
      <c r="AU34" s="134"/>
      <c r="AV34" s="134"/>
      <c r="AW34" s="134"/>
      <c r="AX34" s="134"/>
      <c r="AY34" s="134"/>
      <c r="AZ34" s="134"/>
      <c r="BA34" s="134"/>
      <c r="BB34" s="134"/>
      <c r="BC34" s="134"/>
      <c r="BD34" s="134"/>
      <c r="BE34" s="134"/>
      <c r="BF34" s="147"/>
      <c r="BG34" s="147"/>
      <c r="BH34" s="133"/>
      <c r="BI34" s="133"/>
      <c r="BJ34" s="147"/>
      <c r="BK34" s="147"/>
      <c r="BL34" s="147"/>
      <c r="BM34" s="147"/>
      <c r="BN34" s="147"/>
      <c r="BO34" s="133"/>
      <c r="BP34" s="133"/>
      <c r="BQ34" s="133"/>
      <c r="BR34" s="133"/>
      <c r="BS34" s="133"/>
      <c r="BT34" s="133"/>
      <c r="BU34" s="133"/>
      <c r="BV34" s="133"/>
      <c r="BW34" s="133"/>
      <c r="BX34" s="133"/>
      <c r="BY34" s="133"/>
      <c r="BZ34" s="133"/>
      <c r="CA34" s="133"/>
      <c r="CB34" s="133"/>
      <c r="CC34" s="133"/>
      <c r="CD34" s="133"/>
      <c r="CE34" s="133"/>
      <c r="CF34" s="133"/>
      <c r="CG34" s="133"/>
      <c r="CH34" s="133"/>
      <c r="CI34" s="133"/>
      <c r="CJ34" s="133"/>
      <c r="CK34" s="133"/>
      <c r="CL34" s="133"/>
      <c r="CM34" s="133"/>
      <c r="CN34" s="133"/>
      <c r="CO34" s="133"/>
      <c r="CP34" s="133"/>
      <c r="CQ34" s="133"/>
      <c r="CR34" s="133"/>
      <c r="CS34" s="133"/>
      <c r="CT34" s="133"/>
      <c r="CU34" s="133"/>
      <c r="CV34" s="133"/>
      <c r="CW34" s="133"/>
      <c r="CX34" s="133"/>
      <c r="CY34" s="135"/>
      <c r="CZ34" s="135"/>
      <c r="DA34" s="102"/>
      <c r="DB34" s="102"/>
      <c r="DC34" s="102"/>
      <c r="DD34" s="102"/>
      <c r="DE34" s="102"/>
      <c r="DF34" s="102"/>
      <c r="DG34" s="102"/>
      <c r="DH34" s="102"/>
      <c r="DI34" s="102"/>
    </row>
    <row r="35" spans="2:113" ht="18" customHeight="1" x14ac:dyDescent="0.4">
      <c r="B35" s="124">
        <v>25</v>
      </c>
      <c r="C35" s="125"/>
      <c r="D35" s="126"/>
      <c r="E35" s="126" t="s">
        <v>37</v>
      </c>
      <c r="F35" s="127"/>
      <c r="G35" s="128">
        <v>5</v>
      </c>
      <c r="H35" s="136">
        <v>5</v>
      </c>
      <c r="I35" s="129">
        <f>IF(G35&gt;0,H35/G35,"")</f>
        <v>1</v>
      </c>
      <c r="J35" s="130">
        <f t="shared" ca="1" si="7"/>
        <v>44279</v>
      </c>
      <c r="K35" s="130">
        <f t="shared" ca="1" si="6"/>
        <v>44285</v>
      </c>
      <c r="L35" s="137"/>
      <c r="M35" s="137"/>
      <c r="N35" s="133"/>
      <c r="O35" s="133"/>
      <c r="P35" s="133"/>
      <c r="Q35" s="133"/>
      <c r="R35" s="135"/>
      <c r="S35" s="135"/>
      <c r="T35" s="149"/>
      <c r="U35" s="149"/>
      <c r="V35" s="139"/>
      <c r="W35" s="139"/>
      <c r="X35" s="139"/>
      <c r="Y35" s="139"/>
      <c r="Z35" s="139"/>
      <c r="AA35" s="139"/>
      <c r="AB35" s="139"/>
      <c r="AC35" s="139"/>
      <c r="AD35" s="139"/>
      <c r="AE35" s="139"/>
      <c r="AF35" s="139"/>
      <c r="AG35" s="139"/>
      <c r="AH35" s="139"/>
      <c r="AI35" s="139"/>
      <c r="AJ35" s="139"/>
      <c r="AK35" s="139"/>
      <c r="AL35" s="139"/>
      <c r="AM35" s="139"/>
      <c r="AN35" s="139"/>
      <c r="AO35" s="139"/>
      <c r="AP35" s="139"/>
      <c r="AQ35" s="139"/>
      <c r="AR35" s="139"/>
      <c r="AS35" s="139"/>
      <c r="AT35" s="139"/>
      <c r="AU35" s="139"/>
      <c r="AV35" s="139"/>
      <c r="AW35" s="139"/>
      <c r="AX35" s="139"/>
      <c r="AY35" s="139"/>
      <c r="AZ35" s="139"/>
      <c r="BA35" s="139"/>
      <c r="BB35" s="139"/>
      <c r="BC35" s="139"/>
      <c r="BD35" s="139"/>
      <c r="BE35" s="139"/>
      <c r="BF35" s="136"/>
      <c r="BG35" s="136"/>
      <c r="BH35" s="133"/>
      <c r="BI35" s="133"/>
      <c r="BJ35" s="136"/>
      <c r="BK35" s="136"/>
      <c r="BL35" s="136"/>
      <c r="BM35" s="136"/>
      <c r="BN35" s="136"/>
      <c r="BO35" s="133"/>
      <c r="BP35" s="133"/>
      <c r="BQ35" s="133"/>
      <c r="BR35" s="133"/>
      <c r="BS35" s="133"/>
      <c r="BT35" s="133"/>
      <c r="BU35" s="133"/>
      <c r="BV35" s="133"/>
      <c r="BW35" s="133"/>
      <c r="BX35" s="133"/>
      <c r="BY35" s="133"/>
      <c r="BZ35" s="133"/>
      <c r="CA35" s="133"/>
      <c r="CB35" s="133"/>
      <c r="CC35" s="133"/>
      <c r="CD35" s="133"/>
      <c r="CE35" s="133"/>
      <c r="CF35" s="133"/>
      <c r="CG35" s="133"/>
      <c r="CH35" s="133"/>
      <c r="CI35" s="133"/>
      <c r="CJ35" s="133"/>
      <c r="CK35" s="133"/>
      <c r="CL35" s="133"/>
      <c r="CM35" s="133"/>
      <c r="CN35" s="133"/>
      <c r="CO35" s="133"/>
      <c r="CP35" s="133"/>
      <c r="CQ35" s="133"/>
      <c r="CR35" s="133"/>
      <c r="CS35" s="133"/>
      <c r="CT35" s="133"/>
      <c r="CU35" s="133"/>
      <c r="CV35" s="133"/>
      <c r="CW35" s="133"/>
      <c r="CX35" s="133"/>
      <c r="CY35" s="135"/>
      <c r="CZ35" s="135"/>
      <c r="DA35" s="102"/>
      <c r="DB35" s="102"/>
      <c r="DC35" s="102"/>
      <c r="DD35" s="102"/>
      <c r="DE35" s="102"/>
      <c r="DF35" s="102"/>
      <c r="DG35" s="102"/>
      <c r="DH35" s="102"/>
      <c r="DI35" s="102"/>
    </row>
    <row r="36" spans="2:113" ht="18" customHeight="1" x14ac:dyDescent="0.4">
      <c r="B36" s="124">
        <v>26</v>
      </c>
      <c r="C36" s="125"/>
      <c r="D36" s="125"/>
      <c r="E36" s="126" t="s">
        <v>38</v>
      </c>
      <c r="F36" s="127"/>
      <c r="G36" s="128">
        <v>5</v>
      </c>
      <c r="H36" s="140"/>
      <c r="I36" s="129">
        <f>IF(G36&gt;0,H36/G36,"")</f>
        <v>0</v>
      </c>
      <c r="J36" s="130">
        <f ca="1">TODAY()+30</f>
        <v>44310</v>
      </c>
      <c r="K36" s="130">
        <f ca="1">TODAY()+35</f>
        <v>44315</v>
      </c>
      <c r="L36" s="131"/>
      <c r="M36" s="131"/>
      <c r="N36" s="141"/>
      <c r="O36" s="133"/>
      <c r="P36" s="133"/>
      <c r="Q36" s="133"/>
      <c r="R36" s="133"/>
      <c r="S36" s="133"/>
      <c r="T36" s="135"/>
      <c r="U36" s="135"/>
      <c r="V36" s="139"/>
      <c r="W36" s="139"/>
      <c r="X36" s="139"/>
      <c r="Y36" s="139"/>
      <c r="Z36" s="139"/>
      <c r="AA36" s="139"/>
      <c r="AB36" s="139"/>
      <c r="AC36" s="139"/>
      <c r="AD36" s="139"/>
      <c r="AE36" s="139"/>
      <c r="AF36" s="139"/>
      <c r="AG36" s="139"/>
      <c r="AH36" s="139"/>
      <c r="AI36" s="139"/>
      <c r="AJ36" s="139"/>
      <c r="AK36" s="139"/>
      <c r="AL36" s="139"/>
      <c r="AM36" s="139"/>
      <c r="AN36" s="139"/>
      <c r="AO36" s="139"/>
      <c r="AP36" s="139"/>
      <c r="AQ36" s="139"/>
      <c r="AR36" s="139"/>
      <c r="AS36" s="139"/>
      <c r="AT36" s="139"/>
      <c r="AU36" s="139"/>
      <c r="AV36" s="139"/>
      <c r="AW36" s="139"/>
      <c r="AX36" s="139"/>
      <c r="AY36" s="139"/>
      <c r="AZ36" s="139"/>
      <c r="BA36" s="139"/>
      <c r="BB36" s="139"/>
      <c r="BC36" s="139"/>
      <c r="BD36" s="139"/>
      <c r="BE36" s="139"/>
      <c r="BF36" s="133"/>
      <c r="BG36" s="133"/>
      <c r="BH36" s="133"/>
      <c r="BI36" s="133"/>
      <c r="BJ36" s="133"/>
      <c r="BK36" s="133"/>
      <c r="BL36" s="133"/>
      <c r="BM36" s="133"/>
      <c r="BN36" s="133"/>
      <c r="BO36" s="133"/>
      <c r="BP36" s="133"/>
      <c r="BQ36" s="133"/>
      <c r="BR36" s="133"/>
      <c r="BS36" s="133"/>
      <c r="BT36" s="133"/>
      <c r="BU36" s="133"/>
      <c r="BV36" s="133"/>
      <c r="BW36" s="133"/>
      <c r="BX36" s="133"/>
      <c r="BY36" s="133"/>
      <c r="BZ36" s="133"/>
      <c r="CA36" s="133"/>
      <c r="CB36" s="133"/>
      <c r="CC36" s="133"/>
      <c r="CD36" s="133"/>
      <c r="CE36" s="133"/>
      <c r="CF36" s="133"/>
      <c r="CG36" s="133"/>
      <c r="CH36" s="133"/>
      <c r="CI36" s="133"/>
      <c r="CJ36" s="133"/>
      <c r="CK36" s="133"/>
      <c r="CL36" s="133"/>
      <c r="CM36" s="133"/>
      <c r="CN36" s="133"/>
      <c r="CO36" s="133"/>
      <c r="CP36" s="133"/>
      <c r="CQ36" s="133"/>
      <c r="CR36" s="133"/>
      <c r="CS36" s="133"/>
      <c r="CT36" s="133"/>
      <c r="CU36" s="133"/>
      <c r="CV36" s="133"/>
      <c r="CW36" s="133"/>
      <c r="CX36" s="133"/>
      <c r="CY36" s="135"/>
      <c r="CZ36" s="135"/>
      <c r="DA36" s="102"/>
      <c r="DB36" s="102"/>
      <c r="DC36" s="102"/>
      <c r="DD36" s="102"/>
      <c r="DE36" s="102"/>
      <c r="DF36" s="102"/>
      <c r="DG36" s="102"/>
      <c r="DH36" s="102"/>
      <c r="DI36" s="102"/>
    </row>
    <row r="37" spans="2:113" ht="18" customHeight="1" x14ac:dyDescent="0.4">
      <c r="B37" s="124">
        <v>27</v>
      </c>
      <c r="C37" s="125"/>
      <c r="D37" s="126"/>
      <c r="E37" s="126" t="s">
        <v>39</v>
      </c>
      <c r="F37" s="127"/>
      <c r="G37" s="128">
        <v>5</v>
      </c>
      <c r="H37" s="142"/>
      <c r="I37" s="129">
        <f>IF(G37&gt;0,H37/G37,"")</f>
        <v>0</v>
      </c>
      <c r="J37" s="130">
        <f ca="1">TODAY()-1</f>
        <v>44279</v>
      </c>
      <c r="K37" s="130">
        <f ca="1">TODAY()+5</f>
        <v>44285</v>
      </c>
      <c r="L37" s="143"/>
      <c r="M37" s="143"/>
      <c r="N37" s="133"/>
      <c r="O37" s="133"/>
      <c r="P37" s="133"/>
      <c r="Q37" s="133"/>
      <c r="R37" s="135"/>
      <c r="S37" s="135"/>
      <c r="T37" s="149"/>
      <c r="U37" s="149"/>
      <c r="V37" s="139"/>
      <c r="W37" s="139"/>
      <c r="X37" s="139"/>
      <c r="Y37" s="139"/>
      <c r="Z37" s="139"/>
      <c r="AA37" s="139"/>
      <c r="AB37" s="139"/>
      <c r="AC37" s="139"/>
      <c r="AD37" s="139"/>
      <c r="AE37" s="139"/>
      <c r="AF37" s="139"/>
      <c r="AG37" s="139"/>
      <c r="AH37" s="139"/>
      <c r="AI37" s="139"/>
      <c r="AJ37" s="139"/>
      <c r="AK37" s="139"/>
      <c r="AL37" s="139"/>
      <c r="AM37" s="139"/>
      <c r="AN37" s="139"/>
      <c r="AO37" s="139"/>
      <c r="AP37" s="139"/>
      <c r="AQ37" s="139"/>
      <c r="AR37" s="139"/>
      <c r="AS37" s="139"/>
      <c r="AT37" s="139"/>
      <c r="AU37" s="139"/>
      <c r="AV37" s="139"/>
      <c r="AW37" s="139"/>
      <c r="AX37" s="139"/>
      <c r="AY37" s="139"/>
      <c r="AZ37" s="139"/>
      <c r="BA37" s="139"/>
      <c r="BB37" s="139"/>
      <c r="BC37" s="139"/>
      <c r="BD37" s="139"/>
      <c r="BE37" s="139"/>
      <c r="BF37" s="133"/>
      <c r="BG37" s="133"/>
      <c r="BH37" s="133"/>
      <c r="BI37" s="133"/>
      <c r="BJ37" s="133"/>
      <c r="BK37" s="133"/>
      <c r="BL37" s="133"/>
      <c r="BM37" s="133"/>
      <c r="BN37" s="133"/>
      <c r="BO37" s="133"/>
      <c r="BP37" s="133"/>
      <c r="BQ37" s="133"/>
      <c r="BR37" s="133"/>
      <c r="BS37" s="133"/>
      <c r="BT37" s="133"/>
      <c r="BU37" s="133"/>
      <c r="BV37" s="133"/>
      <c r="BW37" s="133"/>
      <c r="BX37" s="133"/>
      <c r="BY37" s="133"/>
      <c r="BZ37" s="133"/>
      <c r="CA37" s="133"/>
      <c r="CB37" s="133"/>
      <c r="CC37" s="133"/>
      <c r="CD37" s="133"/>
      <c r="CE37" s="133"/>
      <c r="CF37" s="133"/>
      <c r="CG37" s="133"/>
      <c r="CH37" s="133"/>
      <c r="CI37" s="133"/>
      <c r="CJ37" s="133"/>
      <c r="CK37" s="133"/>
      <c r="CL37" s="133"/>
      <c r="CM37" s="133"/>
      <c r="CN37" s="133"/>
      <c r="CO37" s="133"/>
      <c r="CP37" s="133"/>
      <c r="CQ37" s="133"/>
      <c r="CR37" s="133"/>
      <c r="CS37" s="133"/>
      <c r="CT37" s="133"/>
      <c r="CU37" s="133"/>
      <c r="CV37" s="133"/>
      <c r="CW37" s="133"/>
      <c r="CX37" s="133"/>
      <c r="CY37" s="135"/>
      <c r="CZ37" s="135"/>
      <c r="DA37" s="102"/>
      <c r="DB37" s="102"/>
      <c r="DC37" s="102"/>
      <c r="DD37" s="102"/>
      <c r="DE37" s="102"/>
      <c r="DF37" s="102"/>
      <c r="DG37" s="102"/>
      <c r="DH37" s="102"/>
      <c r="DI37" s="102"/>
    </row>
    <row r="38" spans="2:113" ht="18" customHeight="1" x14ac:dyDescent="0.4">
      <c r="B38" s="124">
        <v>28</v>
      </c>
      <c r="C38" s="125"/>
      <c r="D38" s="126"/>
      <c r="E38" s="126" t="s">
        <v>40</v>
      </c>
      <c r="F38" s="127"/>
      <c r="G38" s="128">
        <v>20</v>
      </c>
      <c r="H38" s="142">
        <v>15</v>
      </c>
      <c r="I38" s="129">
        <f>IF(G38&gt;0,H38/G38,"")</f>
        <v>0.75</v>
      </c>
      <c r="J38" s="130">
        <f ca="1">TODAY()-13</f>
        <v>44267</v>
      </c>
      <c r="K38" s="130">
        <f ca="1">TODAY()+18</f>
        <v>44298</v>
      </c>
      <c r="L38" s="143"/>
      <c r="M38" s="143"/>
      <c r="N38" s="138"/>
      <c r="O38" s="133"/>
      <c r="P38" s="133"/>
      <c r="Q38" s="138"/>
      <c r="R38" s="135"/>
      <c r="S38" s="135"/>
      <c r="T38" s="135"/>
      <c r="U38" s="135"/>
      <c r="V38" s="139"/>
      <c r="W38" s="139"/>
      <c r="X38" s="139"/>
      <c r="Y38" s="139"/>
      <c r="Z38" s="139"/>
      <c r="AA38" s="139"/>
      <c r="AB38" s="139"/>
      <c r="AC38" s="139"/>
      <c r="AD38" s="139"/>
      <c r="AE38" s="139"/>
      <c r="AF38" s="139"/>
      <c r="AG38" s="139"/>
      <c r="AH38" s="139"/>
      <c r="AI38" s="139"/>
      <c r="AJ38" s="134"/>
      <c r="AK38" s="139"/>
      <c r="AL38" s="139"/>
      <c r="AM38" s="139"/>
      <c r="AN38" s="139"/>
      <c r="AO38" s="139"/>
      <c r="AP38" s="139"/>
      <c r="AQ38" s="139"/>
      <c r="AR38" s="139"/>
      <c r="AS38" s="139"/>
      <c r="AT38" s="139"/>
      <c r="AU38" s="139"/>
      <c r="AV38" s="139"/>
      <c r="AW38" s="139"/>
      <c r="AX38" s="139"/>
      <c r="AY38" s="139"/>
      <c r="AZ38" s="139"/>
      <c r="BA38" s="139"/>
      <c r="BB38" s="139"/>
      <c r="BC38" s="139"/>
      <c r="BD38" s="139"/>
      <c r="BE38" s="139"/>
      <c r="BF38" s="133"/>
      <c r="BG38" s="133"/>
      <c r="BH38" s="133"/>
      <c r="BI38" s="133"/>
      <c r="BJ38" s="133"/>
      <c r="BK38" s="133"/>
      <c r="BL38" s="133"/>
      <c r="BM38" s="133"/>
      <c r="BN38" s="133"/>
      <c r="BO38" s="133"/>
      <c r="BP38" s="133"/>
      <c r="BQ38" s="133"/>
      <c r="BR38" s="133"/>
      <c r="BS38" s="133"/>
      <c r="BT38" s="133"/>
      <c r="BU38" s="133"/>
      <c r="BV38" s="133"/>
      <c r="BW38" s="133"/>
      <c r="BX38" s="133"/>
      <c r="BY38" s="133"/>
      <c r="BZ38" s="133"/>
      <c r="CA38" s="133"/>
      <c r="CB38" s="133"/>
      <c r="CC38" s="133"/>
      <c r="CD38" s="133"/>
      <c r="CE38" s="133"/>
      <c r="CF38" s="133"/>
      <c r="CG38" s="133"/>
      <c r="CH38" s="133"/>
      <c r="CI38" s="133"/>
      <c r="CJ38" s="133"/>
      <c r="CK38" s="133"/>
      <c r="CL38" s="133"/>
      <c r="CM38" s="133"/>
      <c r="CN38" s="133"/>
      <c r="CO38" s="133"/>
      <c r="CP38" s="133"/>
      <c r="CQ38" s="133"/>
      <c r="CR38" s="133"/>
      <c r="CS38" s="133"/>
      <c r="CT38" s="133"/>
      <c r="CU38" s="133"/>
      <c r="CV38" s="133"/>
      <c r="CW38" s="133"/>
      <c r="CX38" s="133"/>
      <c r="CY38" s="135"/>
      <c r="CZ38" s="135"/>
      <c r="DA38" s="102"/>
      <c r="DB38" s="102"/>
      <c r="DC38" s="102"/>
      <c r="DD38" s="102"/>
      <c r="DE38" s="102"/>
      <c r="DF38" s="102"/>
      <c r="DG38" s="102"/>
      <c r="DH38" s="102"/>
      <c r="DI38" s="102"/>
    </row>
    <row r="39" spans="2:113" ht="18" customHeight="1" x14ac:dyDescent="0.4">
      <c r="B39" s="124">
        <v>29</v>
      </c>
      <c r="C39" s="125"/>
      <c r="D39" s="125"/>
      <c r="E39" s="126" t="s">
        <v>41</v>
      </c>
      <c r="F39" s="127"/>
      <c r="G39" s="128">
        <v>5</v>
      </c>
      <c r="H39" s="140">
        <v>3</v>
      </c>
      <c r="I39" s="129">
        <f>IF(G39&gt;0,H39/G39,"")</f>
        <v>0.6</v>
      </c>
      <c r="J39" s="130">
        <f t="shared" ca="1" si="7"/>
        <v>44279</v>
      </c>
      <c r="K39" s="130">
        <f t="shared" ca="1" si="6"/>
        <v>44285</v>
      </c>
      <c r="L39" s="131"/>
      <c r="M39" s="131"/>
      <c r="N39" s="133"/>
      <c r="O39" s="133"/>
      <c r="P39" s="133"/>
      <c r="Q39" s="133"/>
      <c r="R39" s="135"/>
      <c r="S39" s="135"/>
      <c r="T39" s="135"/>
      <c r="U39" s="135"/>
      <c r="V39" s="134"/>
      <c r="W39" s="134"/>
      <c r="X39" s="134"/>
      <c r="Y39" s="134"/>
      <c r="Z39" s="134"/>
      <c r="AA39" s="134"/>
      <c r="AB39" s="134"/>
      <c r="AC39" s="134"/>
      <c r="AD39" s="134"/>
      <c r="AE39" s="134"/>
      <c r="AF39" s="134"/>
      <c r="AG39" s="134"/>
      <c r="AH39" s="134"/>
      <c r="AI39" s="134"/>
      <c r="AJ39" s="134"/>
      <c r="AK39" s="134"/>
      <c r="AL39" s="134"/>
      <c r="AM39" s="134"/>
      <c r="AN39" s="134"/>
      <c r="AO39" s="134"/>
      <c r="AP39" s="134"/>
      <c r="AQ39" s="134"/>
      <c r="AR39" s="134"/>
      <c r="AS39" s="134"/>
      <c r="AT39" s="134"/>
      <c r="AU39" s="134"/>
      <c r="AV39" s="134"/>
      <c r="AW39" s="134"/>
      <c r="AX39" s="134"/>
      <c r="AY39" s="134"/>
      <c r="AZ39" s="134"/>
      <c r="BA39" s="134"/>
      <c r="BB39" s="134"/>
      <c r="BC39" s="134"/>
      <c r="BD39" s="134"/>
      <c r="BE39" s="134"/>
      <c r="BF39" s="133"/>
      <c r="BG39" s="133"/>
      <c r="BH39" s="133"/>
      <c r="BI39" s="133"/>
      <c r="BJ39" s="133"/>
      <c r="BK39" s="133"/>
      <c r="BL39" s="133"/>
      <c r="BM39" s="133"/>
      <c r="BN39" s="133"/>
      <c r="BO39" s="133"/>
      <c r="BP39" s="133"/>
      <c r="BQ39" s="133"/>
      <c r="BR39" s="133"/>
      <c r="BS39" s="133"/>
      <c r="BT39" s="133"/>
      <c r="BU39" s="133"/>
      <c r="BV39" s="133"/>
      <c r="BW39" s="133"/>
      <c r="BX39" s="133"/>
      <c r="BY39" s="133"/>
      <c r="BZ39" s="133"/>
      <c r="CA39" s="133"/>
      <c r="CB39" s="133"/>
      <c r="CC39" s="133"/>
      <c r="CD39" s="133"/>
      <c r="CE39" s="133"/>
      <c r="CF39" s="133"/>
      <c r="CG39" s="133"/>
      <c r="CH39" s="133"/>
      <c r="CI39" s="133"/>
      <c r="CJ39" s="133"/>
      <c r="CK39" s="133"/>
      <c r="CL39" s="133"/>
      <c r="CM39" s="133"/>
      <c r="CN39" s="133"/>
      <c r="CO39" s="133"/>
      <c r="CP39" s="133"/>
      <c r="CQ39" s="133"/>
      <c r="CR39" s="133"/>
      <c r="CS39" s="133"/>
      <c r="CT39" s="133"/>
      <c r="CU39" s="133"/>
      <c r="CV39" s="133"/>
      <c r="CW39" s="133"/>
      <c r="CX39" s="133"/>
      <c r="CY39" s="135"/>
      <c r="CZ39" s="135"/>
      <c r="DA39" s="102"/>
      <c r="DB39" s="102"/>
      <c r="DC39" s="102"/>
      <c r="DD39" s="102"/>
      <c r="DE39" s="102"/>
      <c r="DF39" s="102"/>
      <c r="DG39" s="102"/>
      <c r="DH39" s="102"/>
      <c r="DI39" s="102"/>
    </row>
    <row r="40" spans="2:113" ht="18" customHeight="1" x14ac:dyDescent="0.4">
      <c r="B40" s="124">
        <v>30</v>
      </c>
      <c r="C40" s="125"/>
      <c r="D40" s="125"/>
      <c r="E40" s="126" t="s">
        <v>42</v>
      </c>
      <c r="F40" s="127"/>
      <c r="G40" s="128">
        <v>5</v>
      </c>
      <c r="H40" s="136">
        <v>1</v>
      </c>
      <c r="I40" s="129">
        <f>IF(G40&gt;0,H40/G40,"")</f>
        <v>0.2</v>
      </c>
      <c r="J40" s="130">
        <f t="shared" ca="1" si="7"/>
        <v>44279</v>
      </c>
      <c r="K40" s="130">
        <f t="shared" ca="1" si="6"/>
        <v>44285</v>
      </c>
      <c r="L40" s="131"/>
      <c r="M40" s="131"/>
      <c r="N40" s="144"/>
      <c r="O40" s="133"/>
      <c r="P40" s="133"/>
      <c r="Q40" s="133"/>
      <c r="R40" s="135"/>
      <c r="S40" s="135"/>
      <c r="T40" s="135"/>
      <c r="U40" s="135"/>
      <c r="V40" s="134"/>
      <c r="W40" s="134"/>
      <c r="X40" s="134"/>
      <c r="Y40" s="134"/>
      <c r="Z40" s="134"/>
      <c r="AA40" s="134"/>
      <c r="AB40" s="134"/>
      <c r="AC40" s="134"/>
      <c r="AD40" s="134"/>
      <c r="AE40" s="134"/>
      <c r="AF40" s="134"/>
      <c r="AG40" s="134"/>
      <c r="AH40" s="134"/>
      <c r="AI40" s="134"/>
      <c r="AJ40" s="134"/>
      <c r="AK40" s="134"/>
      <c r="AL40" s="134"/>
      <c r="AM40" s="134"/>
      <c r="AN40" s="134"/>
      <c r="AO40" s="134"/>
      <c r="AP40" s="134"/>
      <c r="AQ40" s="134"/>
      <c r="AR40" s="134"/>
      <c r="AS40" s="134"/>
      <c r="AT40" s="134"/>
      <c r="AU40" s="134"/>
      <c r="AV40" s="134"/>
      <c r="AW40" s="134"/>
      <c r="AX40" s="134"/>
      <c r="AY40" s="134"/>
      <c r="AZ40" s="134"/>
      <c r="BA40" s="134"/>
      <c r="BB40" s="134"/>
      <c r="BC40" s="134"/>
      <c r="BD40" s="134"/>
      <c r="BE40" s="134"/>
      <c r="BF40" s="133"/>
      <c r="BG40" s="133"/>
      <c r="BH40" s="133"/>
      <c r="BI40" s="133"/>
      <c r="BJ40" s="133"/>
      <c r="BK40" s="133"/>
      <c r="BL40" s="133"/>
      <c r="BM40" s="133"/>
      <c r="BN40" s="133"/>
      <c r="BO40" s="133"/>
      <c r="BP40" s="133"/>
      <c r="BQ40" s="133"/>
      <c r="BR40" s="133"/>
      <c r="BS40" s="133"/>
      <c r="BT40" s="133"/>
      <c r="BU40" s="133"/>
      <c r="BV40" s="133"/>
      <c r="BW40" s="133"/>
      <c r="BX40" s="133"/>
      <c r="BY40" s="133"/>
      <c r="BZ40" s="133"/>
      <c r="CA40" s="133"/>
      <c r="CB40" s="133"/>
      <c r="CC40" s="133"/>
      <c r="CD40" s="133"/>
      <c r="CE40" s="133"/>
      <c r="CF40" s="133"/>
      <c r="CG40" s="133"/>
      <c r="CH40" s="133"/>
      <c r="CI40" s="133"/>
      <c r="CJ40" s="133"/>
      <c r="CK40" s="133"/>
      <c r="CL40" s="133"/>
      <c r="CM40" s="133"/>
      <c r="CN40" s="133"/>
      <c r="CO40" s="133"/>
      <c r="CP40" s="133"/>
      <c r="CQ40" s="133"/>
      <c r="CR40" s="133"/>
      <c r="CS40" s="133"/>
      <c r="CT40" s="133"/>
      <c r="CU40" s="133"/>
      <c r="CV40" s="133"/>
      <c r="CW40" s="133"/>
      <c r="CX40" s="133"/>
      <c r="CY40" s="135"/>
      <c r="CZ40" s="135"/>
      <c r="DA40" s="102"/>
      <c r="DB40" s="102"/>
      <c r="DC40" s="102"/>
      <c r="DD40" s="102"/>
      <c r="DE40" s="102"/>
      <c r="DF40" s="102"/>
      <c r="DG40" s="102"/>
      <c r="DH40" s="102"/>
      <c r="DI40" s="102"/>
    </row>
    <row r="41" spans="2:113" ht="18" customHeight="1" x14ac:dyDescent="0.4">
      <c r="B41" s="124">
        <v>31</v>
      </c>
      <c r="C41" s="125"/>
      <c r="D41" s="125"/>
      <c r="E41" s="126" t="s">
        <v>43</v>
      </c>
      <c r="F41" s="127"/>
      <c r="G41" s="128">
        <v>5</v>
      </c>
      <c r="H41" s="140"/>
      <c r="I41" s="129">
        <f>IF(G41&gt;0,H41/G41,"")</f>
        <v>0</v>
      </c>
      <c r="J41" s="130">
        <f t="shared" ca="1" si="7"/>
        <v>44279</v>
      </c>
      <c r="K41" s="130">
        <f t="shared" ca="1" si="6"/>
        <v>44285</v>
      </c>
      <c r="L41" s="131"/>
      <c r="M41" s="131"/>
      <c r="N41" s="133"/>
      <c r="O41" s="133"/>
      <c r="P41" s="133"/>
      <c r="Q41" s="133"/>
      <c r="R41" s="135"/>
      <c r="S41" s="135"/>
      <c r="T41" s="150"/>
      <c r="U41" s="150"/>
      <c r="V41" s="134"/>
      <c r="W41" s="134"/>
      <c r="X41" s="134"/>
      <c r="Y41" s="134"/>
      <c r="Z41" s="134"/>
      <c r="AA41" s="134"/>
      <c r="AB41" s="134"/>
      <c r="AC41" s="134"/>
      <c r="AD41" s="134"/>
      <c r="AE41" s="134"/>
      <c r="AF41" s="134"/>
      <c r="AG41" s="134"/>
      <c r="AH41" s="134"/>
      <c r="AI41" s="134"/>
      <c r="AJ41" s="134"/>
      <c r="AK41" s="134"/>
      <c r="AL41" s="134"/>
      <c r="AM41" s="134"/>
      <c r="AN41" s="134"/>
      <c r="AO41" s="134"/>
      <c r="AP41" s="134"/>
      <c r="AQ41" s="134"/>
      <c r="AR41" s="134"/>
      <c r="AS41" s="134"/>
      <c r="AT41" s="134"/>
      <c r="AU41" s="134"/>
      <c r="AV41" s="134"/>
      <c r="AW41" s="134"/>
      <c r="AX41" s="134"/>
      <c r="AY41" s="134"/>
      <c r="AZ41" s="134"/>
      <c r="BA41" s="134"/>
      <c r="BB41" s="134"/>
      <c r="BC41" s="134"/>
      <c r="BD41" s="134"/>
      <c r="BE41" s="134"/>
      <c r="BF41" s="133"/>
      <c r="BG41" s="133"/>
      <c r="BH41" s="133"/>
      <c r="BI41" s="133"/>
      <c r="BJ41" s="133"/>
      <c r="BK41" s="133"/>
      <c r="BL41" s="133"/>
      <c r="BM41" s="133"/>
      <c r="BN41" s="133"/>
      <c r="BO41" s="133"/>
      <c r="BP41" s="133"/>
      <c r="BQ41" s="133"/>
      <c r="BR41" s="133"/>
      <c r="BS41" s="133"/>
      <c r="BT41" s="133"/>
      <c r="BU41" s="133"/>
      <c r="BV41" s="133"/>
      <c r="BW41" s="133"/>
      <c r="BX41" s="133"/>
      <c r="BY41" s="133"/>
      <c r="BZ41" s="133"/>
      <c r="CA41" s="133"/>
      <c r="CB41" s="133"/>
      <c r="CC41" s="133"/>
      <c r="CD41" s="133"/>
      <c r="CE41" s="133"/>
      <c r="CF41" s="133"/>
      <c r="CG41" s="133"/>
      <c r="CH41" s="133"/>
      <c r="CI41" s="133"/>
      <c r="CJ41" s="133"/>
      <c r="CK41" s="133"/>
      <c r="CL41" s="133"/>
      <c r="CM41" s="133"/>
      <c r="CN41" s="133"/>
      <c r="CO41" s="133"/>
      <c r="CP41" s="133"/>
      <c r="CQ41" s="133"/>
      <c r="CR41" s="133"/>
      <c r="CS41" s="133"/>
      <c r="CT41" s="133"/>
      <c r="CU41" s="133"/>
      <c r="CV41" s="133"/>
      <c r="CW41" s="133"/>
      <c r="CX41" s="133"/>
      <c r="CY41" s="135"/>
      <c r="CZ41" s="135"/>
      <c r="DA41" s="102"/>
      <c r="DB41" s="102"/>
      <c r="DC41" s="102"/>
      <c r="DD41" s="102"/>
      <c r="DE41" s="102"/>
      <c r="DF41" s="102"/>
      <c r="DG41" s="102"/>
      <c r="DH41" s="102"/>
      <c r="DI41" s="102"/>
    </row>
    <row r="42" spans="2:113" ht="18" customHeight="1" x14ac:dyDescent="0.4">
      <c r="B42" s="124">
        <v>32</v>
      </c>
      <c r="C42" s="125"/>
      <c r="D42" s="126"/>
      <c r="E42" s="126" t="s">
        <v>44</v>
      </c>
      <c r="F42" s="127"/>
      <c r="G42" s="128">
        <v>5</v>
      </c>
      <c r="H42" s="136">
        <v>2</v>
      </c>
      <c r="I42" s="129">
        <f>IF(G42&gt;0,H42/G42,"")</f>
        <v>0.4</v>
      </c>
      <c r="J42" s="130">
        <f t="shared" ca="1" si="7"/>
        <v>44279</v>
      </c>
      <c r="K42" s="130">
        <f t="shared" ca="1" si="6"/>
        <v>44285</v>
      </c>
      <c r="L42" s="131"/>
      <c r="M42" s="131"/>
      <c r="N42" s="141"/>
      <c r="O42" s="133"/>
      <c r="P42" s="133"/>
      <c r="Q42" s="133"/>
      <c r="R42" s="135"/>
      <c r="S42" s="135"/>
      <c r="T42" s="135"/>
      <c r="U42" s="135"/>
      <c r="V42" s="139"/>
      <c r="W42" s="139"/>
      <c r="X42" s="139"/>
      <c r="Y42" s="139"/>
      <c r="Z42" s="139"/>
      <c r="AA42" s="139"/>
      <c r="AB42" s="139"/>
      <c r="AC42" s="139"/>
      <c r="AD42" s="139"/>
      <c r="AE42" s="139"/>
      <c r="AF42" s="139"/>
      <c r="AG42" s="139"/>
      <c r="AH42" s="139"/>
      <c r="AI42" s="139"/>
      <c r="AJ42" s="139"/>
      <c r="AK42" s="139"/>
      <c r="AL42" s="139"/>
      <c r="AM42" s="139"/>
      <c r="AN42" s="139"/>
      <c r="AO42" s="139"/>
      <c r="AP42" s="139"/>
      <c r="AQ42" s="139"/>
      <c r="AR42" s="139"/>
      <c r="AS42" s="139"/>
      <c r="AT42" s="139"/>
      <c r="AU42" s="139"/>
      <c r="AV42" s="139"/>
      <c r="AW42" s="139"/>
      <c r="AX42" s="139"/>
      <c r="AY42" s="139"/>
      <c r="AZ42" s="139"/>
      <c r="BA42" s="139"/>
      <c r="BB42" s="139"/>
      <c r="BC42" s="139"/>
      <c r="BD42" s="139"/>
      <c r="BE42" s="139"/>
      <c r="BF42" s="133"/>
      <c r="BG42" s="133"/>
      <c r="BH42" s="133"/>
      <c r="BI42" s="133"/>
      <c r="BJ42" s="133"/>
      <c r="BK42" s="133"/>
      <c r="BL42" s="133"/>
      <c r="BM42" s="133"/>
      <c r="BN42" s="133"/>
      <c r="BO42" s="133"/>
      <c r="BP42" s="133"/>
      <c r="BQ42" s="133"/>
      <c r="BR42" s="133"/>
      <c r="BS42" s="133"/>
      <c r="BT42" s="133"/>
      <c r="BU42" s="133"/>
      <c r="BV42" s="133"/>
      <c r="BW42" s="133"/>
      <c r="BX42" s="133"/>
      <c r="BY42" s="133"/>
      <c r="BZ42" s="133"/>
      <c r="CA42" s="133"/>
      <c r="CB42" s="133"/>
      <c r="CC42" s="133"/>
      <c r="CD42" s="133"/>
      <c r="CE42" s="133"/>
      <c r="CF42" s="133"/>
      <c r="CG42" s="133"/>
      <c r="CH42" s="133"/>
      <c r="CI42" s="133"/>
      <c r="CJ42" s="133"/>
      <c r="CK42" s="133"/>
      <c r="CL42" s="133"/>
      <c r="CM42" s="133"/>
      <c r="CN42" s="133"/>
      <c r="CO42" s="133"/>
      <c r="CP42" s="133"/>
      <c r="CQ42" s="133"/>
      <c r="CR42" s="133"/>
      <c r="CS42" s="133"/>
      <c r="CT42" s="133"/>
      <c r="CU42" s="133"/>
      <c r="CV42" s="133"/>
      <c r="CW42" s="133"/>
      <c r="CX42" s="133"/>
      <c r="CY42" s="135"/>
      <c r="CZ42" s="135"/>
      <c r="DA42" s="102"/>
      <c r="DB42" s="102"/>
      <c r="DC42" s="102"/>
      <c r="DD42" s="102"/>
      <c r="DE42" s="102"/>
      <c r="DF42" s="102"/>
      <c r="DG42" s="102"/>
      <c r="DH42" s="102"/>
      <c r="DI42" s="102"/>
    </row>
    <row r="43" spans="2:113" ht="18" customHeight="1" x14ac:dyDescent="0.4">
      <c r="B43" s="124">
        <v>33</v>
      </c>
      <c r="C43" s="125"/>
      <c r="D43" s="126"/>
      <c r="E43" s="126" t="s">
        <v>45</v>
      </c>
      <c r="F43" s="127"/>
      <c r="G43" s="128">
        <v>10</v>
      </c>
      <c r="H43" s="140">
        <v>1.08</v>
      </c>
      <c r="I43" s="129">
        <f>IF(G43&gt;0,H43/G43,"")</f>
        <v>0.10800000000000001</v>
      </c>
      <c r="J43" s="130">
        <f ca="1">TODAY()-28</f>
        <v>44252</v>
      </c>
      <c r="K43" s="130">
        <f ca="1">TODAY()</f>
        <v>44280</v>
      </c>
      <c r="L43" s="131"/>
      <c r="M43" s="131"/>
      <c r="N43" s="151"/>
      <c r="O43" s="151"/>
      <c r="P43" s="151"/>
      <c r="Q43" s="151"/>
      <c r="R43" s="135"/>
      <c r="S43" s="135"/>
      <c r="T43" s="135"/>
      <c r="U43" s="135"/>
      <c r="V43" s="134"/>
      <c r="W43" s="134"/>
      <c r="X43" s="134"/>
      <c r="Y43" s="134"/>
      <c r="Z43" s="134"/>
      <c r="AA43" s="134"/>
      <c r="AB43" s="134"/>
      <c r="AC43" s="134"/>
      <c r="AD43" s="134"/>
      <c r="AE43" s="134"/>
      <c r="AF43" s="134"/>
      <c r="AG43" s="134"/>
      <c r="AH43" s="134"/>
      <c r="AI43" s="134"/>
      <c r="AJ43" s="134"/>
      <c r="AK43" s="134"/>
      <c r="AL43" s="134"/>
      <c r="AM43" s="134"/>
      <c r="AN43" s="134"/>
      <c r="AO43" s="134"/>
      <c r="AP43" s="134"/>
      <c r="AQ43" s="134"/>
      <c r="AR43" s="134"/>
      <c r="AS43" s="134"/>
      <c r="AT43" s="134"/>
      <c r="AU43" s="134"/>
      <c r="AV43" s="134"/>
      <c r="AW43" s="134"/>
      <c r="AX43" s="134"/>
      <c r="AY43" s="134"/>
      <c r="AZ43" s="134"/>
      <c r="BA43" s="134"/>
      <c r="BB43" s="134"/>
      <c r="BC43" s="134"/>
      <c r="BD43" s="134"/>
      <c r="BE43" s="134"/>
      <c r="BF43" s="133"/>
      <c r="BG43" s="133"/>
      <c r="BH43" s="133"/>
      <c r="BI43" s="133"/>
      <c r="BJ43" s="133"/>
      <c r="BK43" s="133"/>
      <c r="BL43" s="133"/>
      <c r="BM43" s="133"/>
      <c r="BN43" s="133"/>
      <c r="BO43" s="133"/>
      <c r="BP43" s="133"/>
      <c r="BQ43" s="133"/>
      <c r="BR43" s="133"/>
      <c r="BS43" s="133"/>
      <c r="BT43" s="133"/>
      <c r="BU43" s="133"/>
      <c r="BV43" s="133"/>
      <c r="BW43" s="133"/>
      <c r="BX43" s="133"/>
      <c r="BY43" s="133"/>
      <c r="BZ43" s="133"/>
      <c r="CA43" s="133"/>
      <c r="CB43" s="133"/>
      <c r="CC43" s="133"/>
      <c r="CD43" s="133"/>
      <c r="CE43" s="133"/>
      <c r="CF43" s="133"/>
      <c r="CG43" s="133"/>
      <c r="CH43" s="133"/>
      <c r="CI43" s="133"/>
      <c r="CJ43" s="133"/>
      <c r="CK43" s="133"/>
      <c r="CL43" s="133"/>
      <c r="CM43" s="133"/>
      <c r="CN43" s="133"/>
      <c r="CO43" s="133"/>
      <c r="CP43" s="133"/>
      <c r="CQ43" s="133"/>
      <c r="CR43" s="133"/>
      <c r="CS43" s="133"/>
      <c r="CT43" s="133"/>
      <c r="CU43" s="133"/>
      <c r="CV43" s="133"/>
      <c r="CW43" s="133"/>
      <c r="CX43" s="133"/>
      <c r="CY43" s="135"/>
      <c r="CZ43" s="135"/>
      <c r="DA43" s="102"/>
      <c r="DB43" s="102"/>
      <c r="DC43" s="102"/>
      <c r="DD43" s="102"/>
      <c r="DE43" s="102"/>
      <c r="DF43" s="102"/>
      <c r="DG43" s="102"/>
      <c r="DH43" s="102"/>
      <c r="DI43" s="102"/>
    </row>
    <row r="44" spans="2:113" ht="18" customHeight="1" x14ac:dyDescent="0.4">
      <c r="B44" s="124">
        <v>34</v>
      </c>
      <c r="C44" s="125"/>
      <c r="D44" s="126"/>
      <c r="E44" s="126" t="s">
        <v>46</v>
      </c>
      <c r="F44" s="127"/>
      <c r="G44" s="128">
        <v>10</v>
      </c>
      <c r="H44" s="140">
        <v>9.9</v>
      </c>
      <c r="I44" s="129">
        <v>1</v>
      </c>
      <c r="J44" s="130">
        <f ca="1">TODAY()</f>
        <v>44280</v>
      </c>
      <c r="K44" s="130">
        <f ca="1">TODAY()+40</f>
        <v>44320</v>
      </c>
      <c r="L44" s="131"/>
      <c r="M44" s="131"/>
      <c r="N44" s="151"/>
      <c r="O44" s="151"/>
      <c r="P44" s="151"/>
      <c r="Q44" s="151"/>
      <c r="R44" s="135"/>
      <c r="S44" s="135"/>
      <c r="T44" s="151"/>
      <c r="U44" s="151"/>
      <c r="V44" s="139"/>
      <c r="W44" s="139"/>
      <c r="X44" s="139"/>
      <c r="Y44" s="139"/>
      <c r="Z44" s="139"/>
      <c r="AA44" s="139"/>
      <c r="AB44" s="139"/>
      <c r="AC44" s="139"/>
      <c r="AD44" s="139"/>
      <c r="AE44" s="139"/>
      <c r="AF44" s="139"/>
      <c r="AG44" s="139"/>
      <c r="AH44" s="139"/>
      <c r="AI44" s="139"/>
      <c r="AJ44" s="139"/>
      <c r="AK44" s="139"/>
      <c r="AL44" s="139"/>
      <c r="AM44" s="139"/>
      <c r="AN44" s="139"/>
      <c r="AO44" s="139"/>
      <c r="AP44" s="139"/>
      <c r="AQ44" s="139"/>
      <c r="AR44" s="139"/>
      <c r="AS44" s="139"/>
      <c r="AT44" s="139"/>
      <c r="AU44" s="139"/>
      <c r="AV44" s="139"/>
      <c r="AW44" s="139"/>
      <c r="AX44" s="139"/>
      <c r="AY44" s="139"/>
      <c r="AZ44" s="139"/>
      <c r="BA44" s="139"/>
      <c r="BB44" s="139"/>
      <c r="BC44" s="139"/>
      <c r="BD44" s="139"/>
      <c r="BE44" s="139"/>
      <c r="BF44" s="133"/>
      <c r="BG44" s="133"/>
      <c r="BH44" s="133"/>
      <c r="BI44" s="133"/>
      <c r="BJ44" s="133"/>
      <c r="BK44" s="133"/>
      <c r="BL44" s="133"/>
      <c r="BM44" s="133"/>
      <c r="BN44" s="133"/>
      <c r="BO44" s="133"/>
      <c r="BP44" s="133"/>
      <c r="BQ44" s="133"/>
      <c r="BR44" s="133"/>
      <c r="BS44" s="133"/>
      <c r="BT44" s="133"/>
      <c r="BU44" s="133"/>
      <c r="BV44" s="133"/>
      <c r="BW44" s="133"/>
      <c r="BX44" s="133"/>
      <c r="BY44" s="133"/>
      <c r="BZ44" s="133"/>
      <c r="CA44" s="133"/>
      <c r="CB44" s="133"/>
      <c r="CC44" s="133"/>
      <c r="CD44" s="133"/>
      <c r="CE44" s="133"/>
      <c r="CF44" s="133"/>
      <c r="CG44" s="133"/>
      <c r="CH44" s="133"/>
      <c r="CI44" s="133"/>
      <c r="CJ44" s="133"/>
      <c r="CK44" s="133"/>
      <c r="CL44" s="133"/>
      <c r="CM44" s="133"/>
      <c r="CN44" s="133"/>
      <c r="CO44" s="133"/>
      <c r="CP44" s="133"/>
      <c r="CQ44" s="133"/>
      <c r="CR44" s="133"/>
      <c r="CS44" s="133"/>
      <c r="CT44" s="133"/>
      <c r="CU44" s="133"/>
      <c r="CV44" s="133"/>
      <c r="CW44" s="133"/>
      <c r="CX44" s="133"/>
      <c r="CY44" s="135"/>
      <c r="CZ44" s="135"/>
      <c r="DA44" s="102"/>
      <c r="DB44" s="102"/>
      <c r="DC44" s="102"/>
      <c r="DD44" s="102"/>
      <c r="DE44" s="102"/>
      <c r="DF44" s="102"/>
      <c r="DG44" s="102"/>
      <c r="DH44" s="102"/>
      <c r="DI44" s="102"/>
    </row>
    <row r="45" spans="2:113" ht="18" customHeight="1" x14ac:dyDescent="0.4">
      <c r="B45" s="124">
        <v>35</v>
      </c>
      <c r="C45" s="125"/>
      <c r="D45" s="126"/>
      <c r="E45" s="126" t="s">
        <v>47</v>
      </c>
      <c r="F45" s="127"/>
      <c r="G45" s="128">
        <v>5</v>
      </c>
      <c r="H45" s="136">
        <v>5</v>
      </c>
      <c r="I45" s="129">
        <f>IF(G45&gt;0,H45/G45,"")</f>
        <v>1</v>
      </c>
      <c r="J45" s="130">
        <f ca="1">TODAY()</f>
        <v>44280</v>
      </c>
      <c r="K45" s="130">
        <f ca="1">TODAY()+5</f>
        <v>44285</v>
      </c>
      <c r="L45" s="137"/>
      <c r="M45" s="137"/>
      <c r="N45" s="141"/>
      <c r="O45" s="133"/>
      <c r="P45" s="133"/>
      <c r="Q45" s="133"/>
      <c r="R45" s="133"/>
      <c r="S45" s="133"/>
      <c r="T45" s="135"/>
      <c r="U45" s="135"/>
      <c r="V45" s="134"/>
      <c r="W45" s="134"/>
      <c r="X45" s="134"/>
      <c r="Y45" s="134"/>
      <c r="Z45" s="134"/>
      <c r="AA45" s="134"/>
      <c r="AB45" s="134"/>
      <c r="AC45" s="134"/>
      <c r="AD45" s="134"/>
      <c r="AE45" s="134"/>
      <c r="AF45" s="134"/>
      <c r="AG45" s="134"/>
      <c r="AH45" s="134"/>
      <c r="AI45" s="134"/>
      <c r="AJ45" s="134"/>
      <c r="AK45" s="134"/>
      <c r="AL45" s="134"/>
      <c r="AM45" s="134"/>
      <c r="AN45" s="134"/>
      <c r="AO45" s="134"/>
      <c r="AP45" s="134"/>
      <c r="AQ45" s="134"/>
      <c r="AR45" s="134"/>
      <c r="AS45" s="134"/>
      <c r="AT45" s="134"/>
      <c r="AU45" s="134"/>
      <c r="AV45" s="134"/>
      <c r="AW45" s="134"/>
      <c r="AX45" s="134"/>
      <c r="AY45" s="134"/>
      <c r="AZ45" s="134"/>
      <c r="BA45" s="134"/>
      <c r="BB45" s="134"/>
      <c r="BC45" s="134"/>
      <c r="BD45" s="134"/>
      <c r="BE45" s="134"/>
      <c r="BF45" s="133"/>
      <c r="BG45" s="133"/>
      <c r="BH45" s="133"/>
      <c r="BI45" s="133"/>
      <c r="BJ45" s="133"/>
      <c r="BK45" s="133"/>
      <c r="BL45" s="133"/>
      <c r="BM45" s="133"/>
      <c r="BN45" s="133"/>
      <c r="BO45" s="133"/>
      <c r="BP45" s="133"/>
      <c r="BQ45" s="133"/>
      <c r="BR45" s="133"/>
      <c r="BS45" s="133"/>
      <c r="BT45" s="133"/>
      <c r="BU45" s="133"/>
      <c r="BV45" s="133"/>
      <c r="BW45" s="133"/>
      <c r="BX45" s="133"/>
      <c r="BY45" s="133"/>
      <c r="BZ45" s="133"/>
      <c r="CA45" s="133"/>
      <c r="CB45" s="133"/>
      <c r="CC45" s="133"/>
      <c r="CD45" s="133"/>
      <c r="CE45" s="133"/>
      <c r="CF45" s="133"/>
      <c r="CG45" s="133"/>
      <c r="CH45" s="133"/>
      <c r="CI45" s="133"/>
      <c r="CJ45" s="133"/>
      <c r="CK45" s="133"/>
      <c r="CL45" s="133"/>
      <c r="CM45" s="133"/>
      <c r="CN45" s="133"/>
      <c r="CO45" s="133"/>
      <c r="CP45" s="133"/>
      <c r="CQ45" s="133"/>
      <c r="CR45" s="133"/>
      <c r="CS45" s="133"/>
      <c r="CT45" s="133"/>
      <c r="CU45" s="133"/>
      <c r="CV45" s="133"/>
      <c r="CW45" s="133"/>
      <c r="CX45" s="133"/>
      <c r="CY45" s="135"/>
      <c r="CZ45" s="135"/>
      <c r="DA45" s="102"/>
      <c r="DB45" s="102"/>
      <c r="DC45" s="102"/>
      <c r="DD45" s="102"/>
      <c r="DE45" s="102"/>
      <c r="DF45" s="102"/>
      <c r="DG45" s="102"/>
      <c r="DH45" s="102"/>
      <c r="DI45" s="102"/>
    </row>
    <row r="46" spans="2:113" ht="18" customHeight="1" x14ac:dyDescent="0.4">
      <c r="B46" s="124">
        <v>36</v>
      </c>
      <c r="C46" s="125"/>
      <c r="D46" s="126"/>
      <c r="E46" s="126" t="s">
        <v>48</v>
      </c>
      <c r="F46" s="127"/>
      <c r="G46" s="128">
        <v>5</v>
      </c>
      <c r="H46" s="136">
        <v>3</v>
      </c>
      <c r="I46" s="129">
        <f>IF(G46&gt;0,H46/G46,"")</f>
        <v>0.6</v>
      </c>
      <c r="J46" s="130">
        <f ca="1">TODAY()+6</f>
        <v>44286</v>
      </c>
      <c r="K46" s="130">
        <f ca="1">TODAY()+11</f>
        <v>44291</v>
      </c>
      <c r="L46" s="137"/>
      <c r="M46" s="137"/>
      <c r="N46" s="133"/>
      <c r="O46" s="133"/>
      <c r="P46" s="133"/>
      <c r="Q46" s="133"/>
      <c r="R46" s="135"/>
      <c r="S46" s="135"/>
      <c r="T46" s="135"/>
      <c r="U46" s="135"/>
      <c r="V46" s="134"/>
      <c r="W46" s="134"/>
      <c r="X46" s="134"/>
      <c r="Y46" s="134"/>
      <c r="Z46" s="134"/>
      <c r="AA46" s="134"/>
      <c r="AB46" s="134"/>
      <c r="AC46" s="134"/>
      <c r="AD46" s="134"/>
      <c r="AE46" s="134"/>
      <c r="AF46" s="134"/>
      <c r="AG46" s="134"/>
      <c r="AH46" s="134"/>
      <c r="AI46" s="134"/>
      <c r="AJ46" s="134"/>
      <c r="AK46" s="134"/>
      <c r="AL46" s="134"/>
      <c r="AM46" s="134"/>
      <c r="AN46" s="134"/>
      <c r="AO46" s="134"/>
      <c r="AP46" s="134"/>
      <c r="AQ46" s="134"/>
      <c r="AR46" s="134"/>
      <c r="AS46" s="134"/>
      <c r="AT46" s="134"/>
      <c r="AU46" s="134"/>
      <c r="AV46" s="134"/>
      <c r="AW46" s="134"/>
      <c r="AX46" s="134"/>
      <c r="AY46" s="134"/>
      <c r="AZ46" s="134"/>
      <c r="BA46" s="134"/>
      <c r="BB46" s="134"/>
      <c r="BC46" s="134"/>
      <c r="BD46" s="134"/>
      <c r="BE46" s="134"/>
      <c r="BF46" s="147"/>
      <c r="BG46" s="147"/>
      <c r="BH46" s="133"/>
      <c r="BI46" s="133"/>
      <c r="BJ46" s="147"/>
      <c r="BK46" s="147"/>
      <c r="BL46" s="147"/>
      <c r="BM46" s="147"/>
      <c r="BN46" s="147"/>
      <c r="BO46" s="133"/>
      <c r="BP46" s="133"/>
      <c r="BQ46" s="136"/>
      <c r="BR46" s="136"/>
      <c r="BS46" s="136"/>
      <c r="BT46" s="136"/>
      <c r="BU46" s="136"/>
      <c r="BV46" s="133"/>
      <c r="BW46" s="133"/>
      <c r="BX46" s="133"/>
      <c r="BY46" s="133"/>
      <c r="BZ46" s="133"/>
      <c r="CA46" s="133"/>
      <c r="CB46" s="133"/>
      <c r="CC46" s="133"/>
      <c r="CD46" s="133"/>
      <c r="CE46" s="133"/>
      <c r="CF46" s="133"/>
      <c r="CG46" s="133"/>
      <c r="CH46" s="133"/>
      <c r="CI46" s="133"/>
      <c r="CJ46" s="133"/>
      <c r="CK46" s="133"/>
      <c r="CL46" s="133"/>
      <c r="CM46" s="133"/>
      <c r="CN46" s="133"/>
      <c r="CO46" s="133"/>
      <c r="CP46" s="133"/>
      <c r="CQ46" s="133"/>
      <c r="CR46" s="133"/>
      <c r="CS46" s="133"/>
      <c r="CT46" s="133"/>
      <c r="CU46" s="133"/>
      <c r="CV46" s="133"/>
      <c r="CW46" s="133"/>
      <c r="CX46" s="133"/>
      <c r="CY46" s="135"/>
      <c r="CZ46" s="135"/>
      <c r="DA46" s="102"/>
      <c r="DB46" s="102"/>
      <c r="DC46" s="102"/>
      <c r="DD46" s="102"/>
      <c r="DE46" s="102"/>
      <c r="DF46" s="102"/>
      <c r="DG46" s="102"/>
      <c r="DH46" s="102"/>
      <c r="DI46" s="102"/>
    </row>
    <row r="47" spans="2:113" ht="18" customHeight="1" x14ac:dyDescent="0.4">
      <c r="B47" s="124">
        <v>37</v>
      </c>
      <c r="C47" s="125"/>
      <c r="D47" s="126"/>
      <c r="E47" s="126" t="s">
        <v>49</v>
      </c>
      <c r="F47" s="127"/>
      <c r="G47" s="128">
        <v>5</v>
      </c>
      <c r="H47" s="136">
        <v>1</v>
      </c>
      <c r="I47" s="129">
        <f>IF(G47&gt;0,H47/G47,"")</f>
        <v>0.2</v>
      </c>
      <c r="J47" s="130">
        <f ca="1">TODAY()+12</f>
        <v>44292</v>
      </c>
      <c r="K47" s="130">
        <f ca="1">TODAY()+16</f>
        <v>44296</v>
      </c>
      <c r="L47" s="137"/>
      <c r="M47" s="137"/>
      <c r="N47" s="133"/>
      <c r="O47" s="138"/>
      <c r="P47" s="138"/>
      <c r="Q47" s="138"/>
      <c r="R47" s="135"/>
      <c r="S47" s="135"/>
      <c r="T47" s="135"/>
      <c r="U47" s="135"/>
      <c r="V47" s="134"/>
      <c r="W47" s="134"/>
      <c r="X47" s="134"/>
      <c r="Y47" s="134"/>
      <c r="Z47" s="134"/>
      <c r="AA47" s="134"/>
      <c r="AB47" s="134"/>
      <c r="AC47" s="134"/>
      <c r="AD47" s="134"/>
      <c r="AE47" s="134"/>
      <c r="AF47" s="134"/>
      <c r="AG47" s="134"/>
      <c r="AH47" s="134"/>
      <c r="AI47" s="134"/>
      <c r="AJ47" s="134"/>
      <c r="AK47" s="134"/>
      <c r="AL47" s="134"/>
      <c r="AM47" s="134"/>
      <c r="AN47" s="134"/>
      <c r="AO47" s="134"/>
      <c r="AP47" s="134"/>
      <c r="AQ47" s="134"/>
      <c r="AR47" s="134"/>
      <c r="AS47" s="134"/>
      <c r="AT47" s="134"/>
      <c r="AU47" s="134"/>
      <c r="AV47" s="134"/>
      <c r="AW47" s="134"/>
      <c r="AX47" s="134"/>
      <c r="AY47" s="134"/>
      <c r="AZ47" s="134"/>
      <c r="BA47" s="134"/>
      <c r="BB47" s="134"/>
      <c r="BC47" s="134"/>
      <c r="BD47" s="134"/>
      <c r="BE47" s="134"/>
      <c r="BF47" s="133"/>
      <c r="BG47" s="133"/>
      <c r="BH47" s="133"/>
      <c r="BI47" s="133"/>
      <c r="BJ47" s="133"/>
      <c r="BK47" s="133"/>
      <c r="BL47" s="133"/>
      <c r="BM47" s="133"/>
      <c r="BN47" s="133"/>
      <c r="BO47" s="133"/>
      <c r="BP47" s="133"/>
      <c r="BQ47" s="133"/>
      <c r="BR47" s="133"/>
      <c r="BS47" s="133"/>
      <c r="BT47" s="133"/>
      <c r="BU47" s="133"/>
      <c r="BV47" s="133"/>
      <c r="BW47" s="133"/>
      <c r="BX47" s="133"/>
      <c r="BY47" s="133"/>
      <c r="BZ47" s="133"/>
      <c r="CA47" s="133"/>
      <c r="CB47" s="133"/>
      <c r="CC47" s="133"/>
      <c r="CD47" s="133"/>
      <c r="CE47" s="133"/>
      <c r="CF47" s="133"/>
      <c r="CG47" s="133"/>
      <c r="CH47" s="133"/>
      <c r="CI47" s="133"/>
      <c r="CJ47" s="133"/>
      <c r="CK47" s="133"/>
      <c r="CL47" s="133"/>
      <c r="CM47" s="133"/>
      <c r="CN47" s="133"/>
      <c r="CO47" s="133"/>
      <c r="CP47" s="133"/>
      <c r="CQ47" s="133"/>
      <c r="CR47" s="133"/>
      <c r="CS47" s="133"/>
      <c r="CT47" s="133"/>
      <c r="CU47" s="133"/>
      <c r="CV47" s="133"/>
      <c r="CW47" s="133"/>
      <c r="CX47" s="133"/>
      <c r="CY47" s="135"/>
      <c r="CZ47" s="135"/>
      <c r="DA47" s="102"/>
      <c r="DB47" s="102"/>
      <c r="DC47" s="102"/>
      <c r="DD47" s="102"/>
      <c r="DE47" s="102"/>
      <c r="DF47" s="102"/>
      <c r="DG47" s="102"/>
      <c r="DH47" s="102"/>
      <c r="DI47" s="102"/>
    </row>
    <row r="48" spans="2:113" ht="18" customHeight="1" x14ac:dyDescent="0.4">
      <c r="B48" s="124">
        <v>38</v>
      </c>
      <c r="C48" s="125"/>
      <c r="D48" s="126"/>
      <c r="E48" s="126" t="s">
        <v>50</v>
      </c>
      <c r="F48" s="127"/>
      <c r="G48" s="128">
        <v>5</v>
      </c>
      <c r="H48" s="136"/>
      <c r="I48" s="129">
        <f>IF(G48&gt;0,H48/G48,"")</f>
        <v>0</v>
      </c>
      <c r="J48" s="130">
        <f ca="1">TODAY()+17</f>
        <v>44297</v>
      </c>
      <c r="K48" s="130">
        <f ca="1">TODAY()+20</f>
        <v>44300</v>
      </c>
      <c r="L48" s="131"/>
      <c r="M48" s="131"/>
      <c r="N48" s="133"/>
      <c r="O48" s="133"/>
      <c r="P48" s="133"/>
      <c r="Q48" s="133"/>
      <c r="R48" s="135"/>
      <c r="S48" s="135"/>
      <c r="T48" s="149"/>
      <c r="U48" s="149"/>
      <c r="V48" s="134"/>
      <c r="W48" s="134"/>
      <c r="X48" s="134"/>
      <c r="Y48" s="134"/>
      <c r="Z48" s="134"/>
      <c r="AA48" s="134"/>
      <c r="AB48" s="134"/>
      <c r="AC48" s="134"/>
      <c r="AD48" s="134"/>
      <c r="AE48" s="134"/>
      <c r="AF48" s="134"/>
      <c r="AG48" s="134"/>
      <c r="AH48" s="134"/>
      <c r="AI48" s="134"/>
      <c r="AJ48" s="134"/>
      <c r="AK48" s="134"/>
      <c r="AL48" s="134"/>
      <c r="AM48" s="134"/>
      <c r="AN48" s="134"/>
      <c r="AO48" s="134"/>
      <c r="AP48" s="134"/>
      <c r="AQ48" s="134"/>
      <c r="AR48" s="134"/>
      <c r="AS48" s="134"/>
      <c r="AT48" s="134"/>
      <c r="AU48" s="134"/>
      <c r="AV48" s="134"/>
      <c r="AW48" s="134"/>
      <c r="AX48" s="134"/>
      <c r="AY48" s="134"/>
      <c r="AZ48" s="134"/>
      <c r="BA48" s="134"/>
      <c r="BB48" s="134"/>
      <c r="BC48" s="134"/>
      <c r="BD48" s="134"/>
      <c r="BE48" s="134"/>
      <c r="BF48" s="133"/>
      <c r="BG48" s="133"/>
      <c r="BH48" s="133"/>
      <c r="BI48" s="133"/>
      <c r="BJ48" s="133"/>
      <c r="BK48" s="133"/>
      <c r="BL48" s="133"/>
      <c r="BM48" s="133"/>
      <c r="BN48" s="133"/>
      <c r="BO48" s="133"/>
      <c r="BP48" s="133"/>
      <c r="BQ48" s="133"/>
      <c r="BR48" s="133"/>
      <c r="BS48" s="133"/>
      <c r="BT48" s="133"/>
      <c r="BU48" s="133"/>
      <c r="BV48" s="133"/>
      <c r="BW48" s="133"/>
      <c r="BX48" s="133"/>
      <c r="BY48" s="133"/>
      <c r="BZ48" s="133"/>
      <c r="CA48" s="133"/>
      <c r="CB48" s="133"/>
      <c r="CC48" s="133"/>
      <c r="CD48" s="133"/>
      <c r="CE48" s="133"/>
      <c r="CF48" s="133"/>
      <c r="CG48" s="133"/>
      <c r="CH48" s="133"/>
      <c r="CI48" s="133"/>
      <c r="CJ48" s="133"/>
      <c r="CK48" s="133"/>
      <c r="CL48" s="133"/>
      <c r="CM48" s="133"/>
      <c r="CN48" s="133"/>
      <c r="CO48" s="133"/>
      <c r="CP48" s="133"/>
      <c r="CQ48" s="133"/>
      <c r="CR48" s="133"/>
      <c r="CS48" s="133"/>
      <c r="CT48" s="133"/>
      <c r="CU48" s="133"/>
      <c r="CV48" s="133"/>
      <c r="CW48" s="133"/>
      <c r="CX48" s="133"/>
      <c r="CY48" s="135"/>
      <c r="CZ48" s="135"/>
      <c r="DA48" s="102"/>
      <c r="DB48" s="102"/>
      <c r="DC48" s="102"/>
      <c r="DD48" s="102"/>
      <c r="DE48" s="102"/>
      <c r="DF48" s="102"/>
      <c r="DG48" s="102"/>
      <c r="DH48" s="102"/>
      <c r="DI48" s="102"/>
    </row>
    <row r="49" spans="2:113" ht="18" customHeight="1" x14ac:dyDescent="0.4">
      <c r="B49" s="124">
        <v>39</v>
      </c>
      <c r="C49" s="125"/>
      <c r="D49" s="126"/>
      <c r="E49" s="126" t="s">
        <v>51</v>
      </c>
      <c r="F49" s="127"/>
      <c r="G49" s="128"/>
      <c r="H49" s="136"/>
      <c r="I49" s="129" t="str">
        <f>IF(G49&gt;0,H49/G49,"")</f>
        <v/>
      </c>
      <c r="J49" s="130"/>
      <c r="K49" s="130"/>
      <c r="L49" s="137"/>
      <c r="M49" s="137"/>
      <c r="N49" s="133"/>
      <c r="O49" s="133"/>
      <c r="P49" s="133"/>
      <c r="Q49" s="133"/>
      <c r="R49" s="135"/>
      <c r="S49" s="135"/>
      <c r="T49" s="149"/>
      <c r="U49" s="149"/>
      <c r="V49" s="134"/>
      <c r="W49" s="134"/>
      <c r="X49" s="134"/>
      <c r="Y49" s="134"/>
      <c r="Z49" s="134"/>
      <c r="AA49" s="134"/>
      <c r="AB49" s="134"/>
      <c r="AC49" s="134"/>
      <c r="AD49" s="134"/>
      <c r="AE49" s="134"/>
      <c r="AF49" s="134"/>
      <c r="AG49" s="134"/>
      <c r="AH49" s="134"/>
      <c r="AI49" s="134"/>
      <c r="AJ49" s="134"/>
      <c r="AK49" s="134"/>
      <c r="AL49" s="134"/>
      <c r="AM49" s="134"/>
      <c r="AN49" s="134"/>
      <c r="AO49" s="134"/>
      <c r="AP49" s="134"/>
      <c r="AQ49" s="134"/>
      <c r="AR49" s="134"/>
      <c r="AS49" s="134"/>
      <c r="AT49" s="134"/>
      <c r="AU49" s="134"/>
      <c r="AV49" s="134"/>
      <c r="AW49" s="134"/>
      <c r="AX49" s="134"/>
      <c r="AY49" s="134"/>
      <c r="AZ49" s="134"/>
      <c r="BA49" s="134"/>
      <c r="BB49" s="134"/>
      <c r="BC49" s="134"/>
      <c r="BD49" s="134"/>
      <c r="BE49" s="134"/>
      <c r="BF49" s="133"/>
      <c r="BG49" s="133"/>
      <c r="BH49" s="133"/>
      <c r="BI49" s="133"/>
      <c r="BJ49" s="133"/>
      <c r="BK49" s="133"/>
      <c r="BL49" s="133"/>
      <c r="BM49" s="133"/>
      <c r="BN49" s="133"/>
      <c r="BO49" s="133"/>
      <c r="BP49" s="133"/>
      <c r="BQ49" s="133"/>
      <c r="BR49" s="133"/>
      <c r="BS49" s="133"/>
      <c r="BT49" s="133"/>
      <c r="BU49" s="133"/>
      <c r="BV49" s="133"/>
      <c r="BW49" s="133"/>
      <c r="BX49" s="133"/>
      <c r="BY49" s="133"/>
      <c r="BZ49" s="133"/>
      <c r="CA49" s="133"/>
      <c r="CB49" s="133"/>
      <c r="CC49" s="133"/>
      <c r="CD49" s="133"/>
      <c r="CE49" s="133"/>
      <c r="CF49" s="133"/>
      <c r="CG49" s="133"/>
      <c r="CH49" s="133"/>
      <c r="CI49" s="133"/>
      <c r="CJ49" s="133"/>
      <c r="CK49" s="133"/>
      <c r="CL49" s="133"/>
      <c r="CM49" s="133"/>
      <c r="CN49" s="133"/>
      <c r="CO49" s="133"/>
      <c r="CP49" s="133"/>
      <c r="CQ49" s="133"/>
      <c r="CR49" s="133"/>
      <c r="CS49" s="133"/>
      <c r="CT49" s="133"/>
      <c r="CU49" s="133"/>
      <c r="CV49" s="133"/>
      <c r="CW49" s="133"/>
      <c r="CX49" s="133"/>
      <c r="CY49" s="135"/>
      <c r="CZ49" s="135"/>
      <c r="DA49" s="102"/>
      <c r="DB49" s="102"/>
      <c r="DC49" s="102"/>
      <c r="DD49" s="102"/>
      <c r="DE49" s="102"/>
      <c r="DF49" s="102"/>
      <c r="DG49" s="102"/>
      <c r="DH49" s="102"/>
      <c r="DI49" s="102"/>
    </row>
    <row r="50" spans="2:113" ht="18" customHeight="1" x14ac:dyDescent="0.4">
      <c r="B50" s="124">
        <v>40</v>
      </c>
      <c r="C50" s="125"/>
      <c r="D50" s="126"/>
      <c r="E50" s="126" t="s">
        <v>52</v>
      </c>
      <c r="F50" s="127"/>
      <c r="G50" s="128"/>
      <c r="H50" s="136"/>
      <c r="I50" s="129" t="str">
        <f>IF(G50&gt;0,H50/G50,"")</f>
        <v/>
      </c>
      <c r="J50" s="130"/>
      <c r="K50" s="130"/>
      <c r="L50" s="131"/>
      <c r="M50" s="131"/>
      <c r="N50" s="145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6"/>
      <c r="AE50" s="146"/>
      <c r="AF50" s="146"/>
      <c r="AG50" s="146"/>
      <c r="AH50" s="146"/>
      <c r="AI50" s="146"/>
      <c r="AJ50" s="146"/>
      <c r="AK50" s="146"/>
      <c r="AL50" s="146"/>
      <c r="AM50" s="146"/>
      <c r="AN50" s="146"/>
      <c r="AO50" s="146"/>
      <c r="AP50" s="146"/>
      <c r="AQ50" s="146"/>
      <c r="AR50" s="146"/>
      <c r="AS50" s="146"/>
      <c r="AT50" s="146"/>
      <c r="AU50" s="146"/>
      <c r="AV50" s="146"/>
      <c r="AW50" s="146"/>
      <c r="AX50" s="146"/>
      <c r="AY50" s="146"/>
      <c r="AZ50" s="146"/>
      <c r="BA50" s="146"/>
      <c r="BB50" s="146"/>
      <c r="BC50" s="146"/>
      <c r="BD50" s="146"/>
      <c r="BE50" s="146"/>
      <c r="BF50" s="146"/>
      <c r="BG50" s="146"/>
      <c r="BH50" s="146"/>
      <c r="BI50" s="146"/>
      <c r="BJ50" s="146"/>
      <c r="BK50" s="146"/>
      <c r="BL50" s="146"/>
      <c r="BM50" s="146"/>
      <c r="BN50" s="146"/>
      <c r="BO50" s="146"/>
      <c r="BP50" s="146"/>
      <c r="BQ50" s="146"/>
      <c r="BR50" s="146"/>
      <c r="BS50" s="146"/>
      <c r="BT50" s="146"/>
      <c r="BU50" s="146"/>
      <c r="BV50" s="146"/>
      <c r="BW50" s="146"/>
      <c r="BX50" s="146"/>
      <c r="BY50" s="146"/>
      <c r="BZ50" s="146"/>
      <c r="CA50" s="146"/>
      <c r="CB50" s="146"/>
      <c r="CC50" s="146"/>
      <c r="CD50" s="146"/>
      <c r="CE50" s="146"/>
      <c r="CF50" s="146"/>
      <c r="CG50" s="146"/>
      <c r="CH50" s="146"/>
      <c r="CI50" s="146"/>
      <c r="CJ50" s="146"/>
      <c r="CK50" s="146"/>
      <c r="CL50" s="146"/>
      <c r="CM50" s="146"/>
      <c r="CN50" s="146"/>
      <c r="CO50" s="146"/>
      <c r="CP50" s="146"/>
      <c r="CQ50" s="146"/>
      <c r="CR50" s="146"/>
      <c r="CS50" s="146"/>
      <c r="CT50" s="146"/>
      <c r="CU50" s="146"/>
      <c r="CV50" s="146"/>
      <c r="CW50" s="146"/>
      <c r="CX50" s="146"/>
      <c r="CY50" s="146"/>
      <c r="CZ50" s="146"/>
    </row>
    <row r="51" spans="2:113" ht="18" customHeight="1" x14ac:dyDescent="0.4">
      <c r="B51" s="124">
        <v>41</v>
      </c>
      <c r="C51" s="125"/>
      <c r="D51" s="126"/>
      <c r="E51" s="126" t="s">
        <v>53</v>
      </c>
      <c r="F51" s="127"/>
      <c r="G51" s="128"/>
      <c r="H51" s="142"/>
      <c r="I51" s="129" t="str">
        <f>IF(G51&gt;0,H51/G51,"")</f>
        <v/>
      </c>
      <c r="J51" s="130"/>
      <c r="K51" s="130"/>
      <c r="L51" s="143"/>
      <c r="M51" s="143"/>
      <c r="N51" s="145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6"/>
      <c r="AE51" s="146"/>
      <c r="AF51" s="146"/>
      <c r="AG51" s="146"/>
      <c r="AH51" s="146"/>
      <c r="AI51" s="146"/>
      <c r="AJ51" s="146"/>
      <c r="AK51" s="146"/>
      <c r="AL51" s="146"/>
      <c r="AM51" s="146"/>
      <c r="AN51" s="146"/>
      <c r="AO51" s="146"/>
      <c r="AP51" s="146"/>
      <c r="AQ51" s="146"/>
      <c r="AR51" s="146"/>
      <c r="AS51" s="146"/>
      <c r="AT51" s="146"/>
      <c r="AU51" s="146"/>
      <c r="AV51" s="146"/>
      <c r="AW51" s="146"/>
      <c r="AX51" s="146"/>
      <c r="AY51" s="146"/>
      <c r="AZ51" s="146"/>
      <c r="BA51" s="146"/>
      <c r="BB51" s="146"/>
      <c r="BC51" s="146"/>
      <c r="BD51" s="146"/>
      <c r="BE51" s="146"/>
      <c r="BF51" s="146"/>
      <c r="BG51" s="146"/>
      <c r="BH51" s="146"/>
      <c r="BI51" s="146"/>
      <c r="BJ51" s="146"/>
      <c r="BK51" s="146"/>
      <c r="BL51" s="146"/>
      <c r="BM51" s="146"/>
      <c r="BN51" s="146"/>
      <c r="BO51" s="146"/>
      <c r="BP51" s="146"/>
      <c r="BQ51" s="146"/>
      <c r="BR51" s="146"/>
      <c r="BS51" s="146"/>
      <c r="BT51" s="146"/>
      <c r="BU51" s="146"/>
      <c r="BV51" s="146"/>
      <c r="BW51" s="146"/>
      <c r="BX51" s="146"/>
      <c r="BY51" s="146"/>
      <c r="BZ51" s="146"/>
      <c r="CA51" s="146"/>
      <c r="CB51" s="146"/>
      <c r="CC51" s="146"/>
      <c r="CD51" s="146"/>
      <c r="CE51" s="146"/>
      <c r="CF51" s="146"/>
      <c r="CG51" s="146"/>
      <c r="CH51" s="146"/>
      <c r="CI51" s="146"/>
      <c r="CJ51" s="146"/>
      <c r="CK51" s="146"/>
      <c r="CL51" s="146"/>
      <c r="CM51" s="146"/>
      <c r="CN51" s="146"/>
      <c r="CO51" s="146"/>
      <c r="CP51" s="146"/>
      <c r="CQ51" s="146"/>
      <c r="CR51" s="146"/>
      <c r="CS51" s="146"/>
      <c r="CT51" s="146"/>
      <c r="CU51" s="146"/>
      <c r="CV51" s="146"/>
      <c r="CW51" s="146"/>
      <c r="CX51" s="146"/>
      <c r="CY51" s="146"/>
      <c r="CZ51" s="146"/>
    </row>
    <row r="52" spans="2:113" ht="18" customHeight="1" x14ac:dyDescent="0.4">
      <c r="B52" s="124">
        <v>42</v>
      </c>
      <c r="C52" s="125"/>
      <c r="D52" s="126"/>
      <c r="E52" s="126" t="s">
        <v>54</v>
      </c>
      <c r="F52" s="127"/>
      <c r="G52" s="128"/>
      <c r="H52" s="136"/>
      <c r="I52" s="129" t="str">
        <f>IF(G52&gt;0,H52/G52,"")</f>
        <v/>
      </c>
      <c r="J52" s="130"/>
      <c r="K52" s="130"/>
      <c r="L52" s="137"/>
      <c r="M52" s="137"/>
      <c r="N52" s="141"/>
      <c r="O52" s="133"/>
      <c r="P52" s="133"/>
      <c r="Q52" s="133"/>
      <c r="R52" s="133"/>
      <c r="S52" s="133"/>
      <c r="T52" s="135"/>
      <c r="U52" s="135"/>
      <c r="V52" s="134"/>
      <c r="W52" s="134"/>
      <c r="X52" s="134"/>
      <c r="Y52" s="134"/>
      <c r="Z52" s="134"/>
      <c r="AA52" s="134"/>
      <c r="AB52" s="134"/>
      <c r="AC52" s="134"/>
      <c r="AD52" s="134"/>
      <c r="AE52" s="134"/>
      <c r="AF52" s="134"/>
      <c r="AG52" s="134"/>
      <c r="AH52" s="134"/>
      <c r="AI52" s="134"/>
      <c r="AJ52" s="134"/>
      <c r="AK52" s="134"/>
      <c r="AL52" s="134"/>
      <c r="AM52" s="134"/>
      <c r="AN52" s="134"/>
      <c r="AO52" s="134"/>
      <c r="AP52" s="134"/>
      <c r="AQ52" s="134"/>
      <c r="AR52" s="134"/>
      <c r="AS52" s="134"/>
      <c r="AT52" s="134"/>
      <c r="AU52" s="134"/>
      <c r="AV52" s="134"/>
      <c r="AW52" s="134"/>
      <c r="AX52" s="134"/>
      <c r="AY52" s="134"/>
      <c r="AZ52" s="134"/>
      <c r="BA52" s="134"/>
      <c r="BB52" s="134"/>
      <c r="BC52" s="134"/>
      <c r="BD52" s="134"/>
      <c r="BE52" s="134"/>
      <c r="BF52" s="133"/>
      <c r="BG52" s="133"/>
      <c r="BH52" s="133"/>
      <c r="BI52" s="133"/>
      <c r="BJ52" s="133"/>
      <c r="BK52" s="133"/>
      <c r="BL52" s="133"/>
      <c r="BM52" s="133"/>
      <c r="BN52" s="133"/>
      <c r="BO52" s="133"/>
      <c r="BP52" s="133"/>
      <c r="BQ52" s="133"/>
      <c r="BR52" s="133"/>
      <c r="BS52" s="133"/>
      <c r="BT52" s="133"/>
      <c r="BU52" s="133"/>
      <c r="BV52" s="133"/>
      <c r="BW52" s="133"/>
      <c r="BX52" s="133"/>
      <c r="BY52" s="133"/>
      <c r="BZ52" s="133"/>
      <c r="CA52" s="133"/>
      <c r="CB52" s="133"/>
      <c r="CC52" s="133"/>
      <c r="CD52" s="133"/>
      <c r="CE52" s="133"/>
      <c r="CF52" s="133"/>
      <c r="CG52" s="133"/>
      <c r="CH52" s="133"/>
      <c r="CI52" s="133"/>
      <c r="CJ52" s="133"/>
      <c r="CK52" s="133"/>
      <c r="CL52" s="133"/>
      <c r="CM52" s="133"/>
      <c r="CN52" s="133"/>
      <c r="CO52" s="133"/>
      <c r="CP52" s="133"/>
      <c r="CQ52" s="133"/>
      <c r="CR52" s="133"/>
      <c r="CS52" s="133"/>
      <c r="CT52" s="133"/>
      <c r="CU52" s="133"/>
      <c r="CV52" s="133"/>
      <c r="CW52" s="133"/>
      <c r="CX52" s="133"/>
      <c r="CY52" s="135"/>
      <c r="CZ52" s="135"/>
      <c r="DA52" s="102"/>
      <c r="DB52" s="102"/>
      <c r="DC52" s="102"/>
      <c r="DD52" s="102"/>
      <c r="DE52" s="102"/>
      <c r="DF52" s="102"/>
      <c r="DG52" s="102"/>
      <c r="DH52" s="102"/>
      <c r="DI52" s="102"/>
    </row>
    <row r="53" spans="2:113" ht="18" customHeight="1" x14ac:dyDescent="0.4">
      <c r="B53" s="124">
        <v>43</v>
      </c>
      <c r="C53" s="125"/>
      <c r="D53" s="125"/>
      <c r="E53" s="126" t="s">
        <v>55</v>
      </c>
      <c r="F53" s="127"/>
      <c r="G53" s="128"/>
      <c r="H53" s="136"/>
      <c r="I53" s="129" t="str">
        <f>IF(G53&gt;0,H53/G53,"")</f>
        <v/>
      </c>
      <c r="J53" s="130"/>
      <c r="K53" s="130"/>
      <c r="L53" s="137"/>
      <c r="M53" s="137"/>
      <c r="N53" s="145"/>
      <c r="O53" s="146"/>
      <c r="P53" s="146"/>
      <c r="Q53" s="146"/>
      <c r="R53" s="146"/>
      <c r="S53" s="146"/>
      <c r="T53" s="146"/>
      <c r="U53" s="146"/>
      <c r="V53" s="146"/>
      <c r="W53" s="146"/>
      <c r="X53" s="146"/>
      <c r="Y53" s="146"/>
      <c r="Z53" s="146"/>
      <c r="AA53" s="146"/>
      <c r="AB53" s="146"/>
      <c r="AC53" s="146"/>
      <c r="AD53" s="146"/>
      <c r="AE53" s="146"/>
      <c r="AF53" s="146"/>
      <c r="AG53" s="146"/>
      <c r="AH53" s="146"/>
      <c r="AI53" s="146"/>
      <c r="AJ53" s="146"/>
      <c r="AK53" s="146"/>
      <c r="AL53" s="146"/>
      <c r="AM53" s="146"/>
      <c r="AN53" s="146"/>
      <c r="AO53" s="146"/>
      <c r="AP53" s="146"/>
      <c r="AQ53" s="146"/>
      <c r="AR53" s="146"/>
      <c r="AS53" s="146"/>
      <c r="AT53" s="146"/>
      <c r="AU53" s="146"/>
      <c r="AV53" s="146"/>
      <c r="AW53" s="146"/>
      <c r="AX53" s="146"/>
      <c r="AY53" s="146"/>
      <c r="AZ53" s="146"/>
      <c r="BA53" s="146"/>
      <c r="BB53" s="146"/>
      <c r="BC53" s="146"/>
      <c r="BD53" s="146"/>
      <c r="BE53" s="146"/>
      <c r="BF53" s="146"/>
      <c r="BG53" s="146"/>
      <c r="BH53" s="146"/>
      <c r="BI53" s="146"/>
      <c r="BJ53" s="146"/>
      <c r="BK53" s="146"/>
      <c r="BL53" s="146"/>
      <c r="BM53" s="146"/>
      <c r="BN53" s="146"/>
      <c r="BO53" s="146"/>
      <c r="BP53" s="146"/>
      <c r="BQ53" s="146"/>
      <c r="BR53" s="146"/>
      <c r="BS53" s="146"/>
      <c r="BT53" s="146"/>
      <c r="BU53" s="146"/>
      <c r="BV53" s="146"/>
      <c r="BW53" s="146"/>
      <c r="BX53" s="146"/>
      <c r="BY53" s="146"/>
      <c r="BZ53" s="146"/>
      <c r="CA53" s="146"/>
      <c r="CB53" s="146"/>
      <c r="CC53" s="146"/>
      <c r="CD53" s="146"/>
      <c r="CE53" s="146"/>
      <c r="CF53" s="146"/>
      <c r="CG53" s="146"/>
      <c r="CH53" s="146"/>
      <c r="CI53" s="146"/>
      <c r="CJ53" s="146"/>
      <c r="CK53" s="146"/>
      <c r="CL53" s="146"/>
      <c r="CM53" s="146"/>
      <c r="CN53" s="146"/>
      <c r="CO53" s="146"/>
      <c r="CP53" s="146"/>
      <c r="CQ53" s="146"/>
      <c r="CR53" s="146"/>
      <c r="CS53" s="146"/>
      <c r="CT53" s="146"/>
      <c r="CU53" s="146"/>
      <c r="CV53" s="146"/>
      <c r="CW53" s="146"/>
      <c r="CX53" s="146"/>
      <c r="CY53" s="146"/>
      <c r="CZ53" s="146"/>
    </row>
    <row r="54" spans="2:113" ht="18" customHeight="1" x14ac:dyDescent="0.4">
      <c r="B54" s="124">
        <v>44</v>
      </c>
      <c r="C54" s="125"/>
      <c r="D54" s="125"/>
      <c r="E54" s="126" t="s">
        <v>56</v>
      </c>
      <c r="F54" s="127"/>
      <c r="G54" s="128"/>
      <c r="H54" s="136"/>
      <c r="I54" s="129" t="str">
        <f>IF(G54&gt;0,H54/G54,"")</f>
        <v/>
      </c>
      <c r="J54" s="130"/>
      <c r="K54" s="130"/>
      <c r="L54" s="131"/>
      <c r="M54" s="131"/>
      <c r="N54" s="145"/>
      <c r="O54" s="146"/>
      <c r="P54" s="146"/>
      <c r="Q54" s="146"/>
      <c r="R54" s="146"/>
      <c r="S54" s="146"/>
      <c r="T54" s="146"/>
      <c r="U54" s="146"/>
      <c r="V54" s="146"/>
      <c r="W54" s="146"/>
      <c r="X54" s="146"/>
      <c r="Y54" s="146"/>
      <c r="Z54" s="146"/>
      <c r="AA54" s="146"/>
      <c r="AB54" s="146"/>
      <c r="AC54" s="146"/>
      <c r="AD54" s="146"/>
      <c r="AE54" s="146"/>
      <c r="AF54" s="146"/>
      <c r="AG54" s="146"/>
      <c r="AH54" s="146"/>
      <c r="AI54" s="146"/>
      <c r="AJ54" s="146"/>
      <c r="AK54" s="146"/>
      <c r="AL54" s="146"/>
      <c r="AM54" s="146"/>
      <c r="AN54" s="146"/>
      <c r="AO54" s="146"/>
      <c r="AP54" s="146"/>
      <c r="AQ54" s="146"/>
      <c r="AR54" s="146"/>
      <c r="AS54" s="146"/>
      <c r="AT54" s="146"/>
      <c r="AU54" s="146"/>
      <c r="AV54" s="146"/>
      <c r="AW54" s="146"/>
      <c r="AX54" s="146"/>
      <c r="AY54" s="146"/>
      <c r="AZ54" s="146"/>
      <c r="BA54" s="146"/>
      <c r="BB54" s="146"/>
      <c r="BC54" s="146"/>
      <c r="BD54" s="146"/>
      <c r="BE54" s="146"/>
      <c r="BF54" s="146"/>
      <c r="BG54" s="146"/>
      <c r="BH54" s="146"/>
      <c r="BI54" s="146"/>
      <c r="BJ54" s="146"/>
      <c r="BK54" s="146"/>
      <c r="BL54" s="146"/>
      <c r="BM54" s="146"/>
      <c r="BN54" s="146"/>
      <c r="BO54" s="146"/>
      <c r="BP54" s="146"/>
      <c r="BQ54" s="146"/>
      <c r="BR54" s="146"/>
      <c r="BS54" s="146"/>
      <c r="BT54" s="146"/>
      <c r="BU54" s="146"/>
      <c r="BV54" s="146"/>
      <c r="BW54" s="146"/>
      <c r="BX54" s="146"/>
      <c r="BY54" s="146"/>
      <c r="BZ54" s="146"/>
      <c r="CA54" s="146"/>
      <c r="CB54" s="146"/>
      <c r="CC54" s="146"/>
      <c r="CD54" s="146"/>
      <c r="CE54" s="146"/>
      <c r="CF54" s="146"/>
      <c r="CG54" s="146"/>
      <c r="CH54" s="146"/>
      <c r="CI54" s="146"/>
      <c r="CJ54" s="146"/>
      <c r="CK54" s="146"/>
      <c r="CL54" s="146"/>
      <c r="CM54" s="146"/>
      <c r="CN54" s="146"/>
      <c r="CO54" s="146"/>
      <c r="CP54" s="146"/>
      <c r="CQ54" s="146"/>
      <c r="CR54" s="146"/>
      <c r="CS54" s="146"/>
      <c r="CT54" s="146"/>
      <c r="CU54" s="146"/>
      <c r="CV54" s="146"/>
      <c r="CW54" s="146"/>
      <c r="CX54" s="146"/>
      <c r="CY54" s="146"/>
      <c r="CZ54" s="146"/>
    </row>
    <row r="55" spans="2:113" ht="18" customHeight="1" x14ac:dyDescent="0.4">
      <c r="B55" s="124">
        <v>45</v>
      </c>
      <c r="C55" s="125"/>
      <c r="D55" s="125"/>
      <c r="E55" s="126" t="s">
        <v>57</v>
      </c>
      <c r="F55" s="127"/>
      <c r="G55" s="128"/>
      <c r="H55" s="142"/>
      <c r="I55" s="129" t="str">
        <f>IF(G55&gt;0,H55/G55,"")</f>
        <v/>
      </c>
      <c r="J55" s="130"/>
      <c r="K55" s="130"/>
      <c r="L55" s="143"/>
      <c r="M55" s="143"/>
      <c r="N55" s="145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6"/>
      <c r="AE55" s="146"/>
      <c r="AF55" s="146"/>
      <c r="AG55" s="146"/>
      <c r="AH55" s="146"/>
      <c r="AI55" s="146"/>
      <c r="AJ55" s="146"/>
      <c r="AK55" s="146"/>
      <c r="AL55" s="146"/>
      <c r="AM55" s="146"/>
      <c r="AN55" s="146"/>
      <c r="AO55" s="146"/>
      <c r="AP55" s="146"/>
      <c r="AQ55" s="146"/>
      <c r="AR55" s="146"/>
      <c r="AS55" s="146"/>
      <c r="AT55" s="146"/>
      <c r="AU55" s="146"/>
      <c r="AV55" s="146"/>
      <c r="AW55" s="146"/>
      <c r="AX55" s="146"/>
      <c r="AY55" s="146"/>
      <c r="AZ55" s="146"/>
      <c r="BA55" s="146"/>
      <c r="BB55" s="146"/>
      <c r="BC55" s="146"/>
      <c r="BD55" s="146"/>
      <c r="BE55" s="146"/>
      <c r="BF55" s="146"/>
      <c r="BG55" s="146"/>
      <c r="BH55" s="146"/>
      <c r="BI55" s="146"/>
      <c r="BJ55" s="146"/>
      <c r="BK55" s="146"/>
      <c r="BL55" s="146"/>
      <c r="BM55" s="146"/>
      <c r="BN55" s="146"/>
      <c r="BO55" s="146"/>
      <c r="BP55" s="146"/>
      <c r="BQ55" s="146"/>
      <c r="BR55" s="146"/>
      <c r="BS55" s="146"/>
      <c r="BT55" s="146"/>
      <c r="BU55" s="146"/>
      <c r="BV55" s="146"/>
      <c r="BW55" s="146"/>
      <c r="BX55" s="146"/>
      <c r="BY55" s="146"/>
      <c r="BZ55" s="146"/>
      <c r="CA55" s="146"/>
      <c r="CB55" s="146"/>
      <c r="CC55" s="146"/>
      <c r="CD55" s="146"/>
      <c r="CE55" s="146"/>
      <c r="CF55" s="146"/>
      <c r="CG55" s="146"/>
      <c r="CH55" s="146"/>
      <c r="CI55" s="146"/>
      <c r="CJ55" s="146"/>
      <c r="CK55" s="146"/>
      <c r="CL55" s="146"/>
      <c r="CM55" s="146"/>
      <c r="CN55" s="146"/>
      <c r="CO55" s="146"/>
      <c r="CP55" s="146"/>
      <c r="CQ55" s="146"/>
      <c r="CR55" s="146"/>
      <c r="CS55" s="146"/>
      <c r="CT55" s="146"/>
      <c r="CU55" s="146"/>
      <c r="CV55" s="146"/>
      <c r="CW55" s="146"/>
      <c r="CX55" s="146"/>
      <c r="CY55" s="146"/>
      <c r="CZ55" s="146"/>
    </row>
    <row r="56" spans="2:113" ht="18" customHeight="1" x14ac:dyDescent="0.4">
      <c r="B56" s="124">
        <v>46</v>
      </c>
      <c r="C56" s="125"/>
      <c r="D56" s="125"/>
      <c r="E56" s="126" t="s">
        <v>58</v>
      </c>
      <c r="F56" s="127"/>
      <c r="G56" s="128"/>
      <c r="H56" s="142"/>
      <c r="I56" s="129" t="str">
        <f>IF(G56&gt;0,H56/G56,"")</f>
        <v/>
      </c>
      <c r="J56" s="130"/>
      <c r="K56" s="130"/>
      <c r="L56" s="143"/>
      <c r="M56" s="143"/>
      <c r="N56" s="133"/>
      <c r="O56" s="133"/>
      <c r="P56" s="133"/>
      <c r="Q56" s="133"/>
      <c r="R56" s="135"/>
      <c r="S56" s="135"/>
      <c r="T56" s="135"/>
      <c r="U56" s="135"/>
      <c r="V56" s="134"/>
      <c r="W56" s="134"/>
      <c r="X56" s="134"/>
      <c r="Y56" s="134"/>
      <c r="Z56" s="134"/>
      <c r="AA56" s="134"/>
      <c r="AB56" s="134"/>
      <c r="AC56" s="134"/>
      <c r="AD56" s="134"/>
      <c r="AE56" s="134"/>
      <c r="AF56" s="134"/>
      <c r="AG56" s="134"/>
      <c r="AH56" s="134"/>
      <c r="AI56" s="134"/>
      <c r="AJ56" s="134"/>
      <c r="AK56" s="134"/>
      <c r="AL56" s="134"/>
      <c r="AM56" s="134"/>
      <c r="AN56" s="134"/>
      <c r="AO56" s="134"/>
      <c r="AP56" s="134"/>
      <c r="AQ56" s="134"/>
      <c r="AR56" s="134"/>
      <c r="AS56" s="134"/>
      <c r="AT56" s="134"/>
      <c r="AU56" s="134"/>
      <c r="AV56" s="134"/>
      <c r="AW56" s="134"/>
      <c r="AX56" s="134"/>
      <c r="AY56" s="134"/>
      <c r="AZ56" s="134"/>
      <c r="BA56" s="134"/>
      <c r="BB56" s="134"/>
      <c r="BC56" s="134"/>
      <c r="BD56" s="134"/>
      <c r="BE56" s="134"/>
      <c r="BF56" s="133"/>
      <c r="BG56" s="133"/>
      <c r="BH56" s="133"/>
      <c r="BI56" s="133"/>
      <c r="BJ56" s="133"/>
      <c r="BK56" s="133"/>
      <c r="BL56" s="133"/>
      <c r="BM56" s="133"/>
      <c r="BN56" s="133"/>
      <c r="BO56" s="133"/>
      <c r="BP56" s="133"/>
      <c r="BQ56" s="133"/>
      <c r="BR56" s="133"/>
      <c r="BS56" s="133"/>
      <c r="BT56" s="133"/>
      <c r="BU56" s="133"/>
      <c r="BV56" s="133"/>
      <c r="BW56" s="133"/>
      <c r="BX56" s="133"/>
      <c r="BY56" s="133"/>
      <c r="BZ56" s="133"/>
      <c r="CA56" s="133"/>
      <c r="CB56" s="133"/>
      <c r="CC56" s="133"/>
      <c r="CD56" s="133"/>
      <c r="CE56" s="133"/>
      <c r="CF56" s="133"/>
      <c r="CG56" s="133"/>
      <c r="CH56" s="133"/>
      <c r="CI56" s="133"/>
      <c r="CJ56" s="133"/>
      <c r="CK56" s="133"/>
      <c r="CL56" s="133"/>
      <c r="CM56" s="133"/>
      <c r="CN56" s="133"/>
      <c r="CO56" s="133"/>
      <c r="CP56" s="133"/>
      <c r="CQ56" s="133"/>
      <c r="CR56" s="133"/>
      <c r="CS56" s="133"/>
      <c r="CT56" s="133"/>
      <c r="CU56" s="133"/>
      <c r="CV56" s="133"/>
      <c r="CW56" s="133"/>
      <c r="CX56" s="133"/>
      <c r="CY56" s="135"/>
      <c r="CZ56" s="135"/>
      <c r="DA56" s="102"/>
      <c r="DB56" s="102"/>
      <c r="DC56" s="102"/>
      <c r="DD56" s="102"/>
      <c r="DE56" s="102"/>
      <c r="DF56" s="102"/>
      <c r="DG56" s="102"/>
      <c r="DH56" s="102"/>
      <c r="DI56" s="102"/>
    </row>
    <row r="57" spans="2:113" ht="18" customHeight="1" x14ac:dyDescent="0.4">
      <c r="B57" s="124">
        <v>47</v>
      </c>
      <c r="C57" s="125"/>
      <c r="D57" s="126"/>
      <c r="E57" s="126" t="s">
        <v>59</v>
      </c>
      <c r="F57" s="127"/>
      <c r="G57" s="128"/>
      <c r="H57" s="142"/>
      <c r="I57" s="129" t="str">
        <f>IF(G57&gt;0,H57/G57,"")</f>
        <v/>
      </c>
      <c r="J57" s="130"/>
      <c r="K57" s="130"/>
      <c r="L57" s="143"/>
      <c r="M57" s="143"/>
      <c r="N57" s="133"/>
      <c r="O57" s="133"/>
      <c r="P57" s="133"/>
      <c r="Q57" s="133"/>
      <c r="R57" s="135"/>
      <c r="S57" s="135"/>
      <c r="T57" s="135"/>
      <c r="U57" s="135"/>
      <c r="V57" s="152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  <c r="AH57" s="153"/>
      <c r="AI57" s="153"/>
      <c r="AJ57" s="153"/>
      <c r="AK57" s="153"/>
      <c r="AL57" s="153"/>
      <c r="AM57" s="153"/>
      <c r="AN57" s="153"/>
      <c r="AO57" s="153"/>
      <c r="AP57" s="153"/>
      <c r="AQ57" s="153"/>
      <c r="AR57" s="153"/>
      <c r="AS57" s="153"/>
      <c r="AT57" s="153"/>
      <c r="AU57" s="153"/>
      <c r="AV57" s="153"/>
      <c r="AW57" s="153"/>
      <c r="AX57" s="153"/>
      <c r="AY57" s="153"/>
      <c r="AZ57" s="153"/>
      <c r="BA57" s="153"/>
      <c r="BB57" s="153"/>
      <c r="BC57" s="153"/>
      <c r="BD57" s="153"/>
      <c r="BE57" s="153"/>
      <c r="BF57" s="147"/>
      <c r="BG57" s="147"/>
      <c r="BH57" s="133"/>
      <c r="BI57" s="133"/>
      <c r="BJ57" s="133"/>
      <c r="BK57" s="133"/>
      <c r="BL57" s="133"/>
      <c r="BM57" s="133"/>
      <c r="BN57" s="133"/>
      <c r="BO57" s="133"/>
      <c r="BP57" s="133"/>
      <c r="BQ57" s="133"/>
      <c r="BR57" s="133"/>
      <c r="BS57" s="133"/>
      <c r="BT57" s="133"/>
      <c r="BU57" s="133"/>
      <c r="BV57" s="133"/>
      <c r="BW57" s="133"/>
      <c r="BX57" s="133"/>
      <c r="BY57" s="133"/>
      <c r="BZ57" s="133"/>
      <c r="CA57" s="133"/>
      <c r="CB57" s="133"/>
      <c r="CC57" s="133"/>
      <c r="CD57" s="133"/>
      <c r="CE57" s="133"/>
      <c r="CF57" s="133"/>
      <c r="CG57" s="133"/>
      <c r="CH57" s="133"/>
      <c r="CI57" s="133"/>
      <c r="CJ57" s="133"/>
      <c r="CK57" s="133"/>
      <c r="CL57" s="133"/>
      <c r="CM57" s="133"/>
      <c r="CN57" s="133"/>
      <c r="CO57" s="133"/>
      <c r="CP57" s="133"/>
      <c r="CQ57" s="133"/>
      <c r="CR57" s="133"/>
      <c r="CS57" s="133"/>
      <c r="CT57" s="133"/>
      <c r="CU57" s="133"/>
      <c r="CV57" s="133"/>
      <c r="CW57" s="133"/>
      <c r="CX57" s="133"/>
      <c r="CY57" s="135"/>
      <c r="CZ57" s="135"/>
      <c r="DA57" s="102"/>
      <c r="DB57" s="102"/>
      <c r="DC57" s="102"/>
      <c r="DD57" s="102"/>
      <c r="DE57" s="102"/>
      <c r="DF57" s="102"/>
      <c r="DG57" s="102"/>
      <c r="DH57" s="102"/>
      <c r="DI57" s="102"/>
    </row>
    <row r="58" spans="2:113" ht="18" customHeight="1" x14ac:dyDescent="0.4">
      <c r="B58" s="124">
        <v>48</v>
      </c>
      <c r="C58" s="125"/>
      <c r="D58" s="126"/>
      <c r="E58" s="126" t="s">
        <v>60</v>
      </c>
      <c r="F58" s="127"/>
      <c r="G58" s="128"/>
      <c r="H58" s="142"/>
      <c r="I58" s="129" t="str">
        <f>IF(G58&gt;0,H58/G58,"")</f>
        <v/>
      </c>
      <c r="J58" s="130"/>
      <c r="K58" s="130"/>
      <c r="L58" s="143"/>
      <c r="M58" s="143"/>
      <c r="N58" s="133"/>
      <c r="O58" s="133"/>
      <c r="P58" s="133"/>
      <c r="Q58" s="133"/>
      <c r="R58" s="135"/>
      <c r="S58" s="135"/>
      <c r="T58" s="149"/>
      <c r="U58" s="149"/>
      <c r="V58" s="134"/>
      <c r="W58" s="134"/>
      <c r="X58" s="134"/>
      <c r="Y58" s="134"/>
      <c r="Z58" s="134"/>
      <c r="AA58" s="134"/>
      <c r="AB58" s="134"/>
      <c r="AC58" s="134"/>
      <c r="AD58" s="134"/>
      <c r="AE58" s="134"/>
      <c r="AF58" s="134"/>
      <c r="AG58" s="134"/>
      <c r="AH58" s="134"/>
      <c r="AI58" s="134"/>
      <c r="AJ58" s="134"/>
      <c r="AK58" s="134"/>
      <c r="AL58" s="134"/>
      <c r="AM58" s="134"/>
      <c r="AN58" s="134"/>
      <c r="AO58" s="134"/>
      <c r="AP58" s="134"/>
      <c r="AQ58" s="134"/>
      <c r="AR58" s="134"/>
      <c r="AS58" s="134"/>
      <c r="AT58" s="134"/>
      <c r="AU58" s="134"/>
      <c r="AV58" s="134"/>
      <c r="AW58" s="134"/>
      <c r="AX58" s="134"/>
      <c r="AY58" s="134"/>
      <c r="AZ58" s="134"/>
      <c r="BA58" s="134"/>
      <c r="BB58" s="134"/>
      <c r="BC58" s="134"/>
      <c r="BD58" s="134"/>
      <c r="BE58" s="134"/>
      <c r="BF58" s="133"/>
      <c r="BG58" s="133"/>
      <c r="BH58" s="133"/>
      <c r="BI58" s="133"/>
      <c r="BJ58" s="133"/>
      <c r="BK58" s="133"/>
      <c r="BL58" s="133"/>
      <c r="BM58" s="133"/>
      <c r="BN58" s="133"/>
      <c r="BO58" s="133"/>
      <c r="BP58" s="133"/>
      <c r="BQ58" s="133"/>
      <c r="BR58" s="133"/>
      <c r="BS58" s="133"/>
      <c r="BT58" s="133"/>
      <c r="BU58" s="133"/>
      <c r="BV58" s="133"/>
      <c r="BW58" s="133"/>
      <c r="BX58" s="133"/>
      <c r="BY58" s="133"/>
      <c r="BZ58" s="133"/>
      <c r="CA58" s="133"/>
      <c r="CB58" s="133"/>
      <c r="CC58" s="133"/>
      <c r="CD58" s="133"/>
      <c r="CE58" s="133"/>
      <c r="CF58" s="133"/>
      <c r="CG58" s="133"/>
      <c r="CH58" s="133"/>
      <c r="CI58" s="133"/>
      <c r="CJ58" s="133"/>
      <c r="CK58" s="133"/>
      <c r="CL58" s="133"/>
      <c r="CM58" s="133"/>
      <c r="CN58" s="133"/>
      <c r="CO58" s="133"/>
      <c r="CP58" s="133"/>
      <c r="CQ58" s="133"/>
      <c r="CR58" s="133"/>
      <c r="CS58" s="133"/>
      <c r="CT58" s="133"/>
      <c r="CU58" s="133"/>
      <c r="CV58" s="133"/>
      <c r="CW58" s="133"/>
      <c r="CX58" s="133"/>
      <c r="CY58" s="135"/>
      <c r="CZ58" s="135"/>
      <c r="DA58" s="102"/>
      <c r="DB58" s="102"/>
      <c r="DC58" s="102"/>
      <c r="DD58" s="102"/>
      <c r="DE58" s="102"/>
      <c r="DF58" s="102"/>
      <c r="DG58" s="102"/>
      <c r="DH58" s="102"/>
      <c r="DI58" s="102"/>
    </row>
    <row r="59" spans="2:113" ht="18" customHeight="1" x14ac:dyDescent="0.4">
      <c r="B59" s="124">
        <v>49</v>
      </c>
      <c r="C59" s="125"/>
      <c r="D59" s="126"/>
      <c r="E59" s="126" t="s">
        <v>61</v>
      </c>
      <c r="F59" s="127"/>
      <c r="G59" s="128"/>
      <c r="H59" s="140"/>
      <c r="I59" s="129" t="str">
        <f>IF(G59&gt;0,H59/G59,"")</f>
        <v/>
      </c>
      <c r="J59" s="130"/>
      <c r="K59" s="130"/>
      <c r="L59" s="154"/>
      <c r="M59" s="154"/>
      <c r="N59" s="144"/>
      <c r="O59" s="133"/>
      <c r="P59" s="133"/>
      <c r="Q59" s="133"/>
      <c r="R59" s="135"/>
      <c r="S59" s="135"/>
      <c r="T59" s="135"/>
      <c r="U59" s="135"/>
      <c r="V59" s="135"/>
      <c r="W59" s="135"/>
      <c r="X59" s="135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33"/>
      <c r="BE59" s="133"/>
      <c r="BF59" s="133"/>
      <c r="BG59" s="133"/>
      <c r="BH59" s="133"/>
      <c r="BI59" s="133"/>
      <c r="BJ59" s="133"/>
      <c r="BK59" s="133"/>
      <c r="BL59" s="133"/>
      <c r="BM59" s="133"/>
      <c r="BN59" s="133"/>
      <c r="BO59" s="133"/>
      <c r="BP59" s="133"/>
      <c r="BQ59" s="133"/>
      <c r="BR59" s="133"/>
      <c r="BS59" s="133"/>
      <c r="BT59" s="133"/>
      <c r="BU59" s="133"/>
      <c r="BV59" s="133"/>
      <c r="BW59" s="133"/>
      <c r="BX59" s="133"/>
      <c r="BY59" s="133"/>
      <c r="BZ59" s="133"/>
      <c r="CA59" s="133"/>
      <c r="CB59" s="133"/>
      <c r="CC59" s="133"/>
      <c r="CD59" s="133"/>
      <c r="CE59" s="133"/>
      <c r="CF59" s="133"/>
      <c r="CG59" s="133"/>
      <c r="CH59" s="133"/>
      <c r="CI59" s="133"/>
      <c r="CJ59" s="133"/>
      <c r="CK59" s="133"/>
      <c r="CL59" s="133"/>
      <c r="CM59" s="133"/>
      <c r="CN59" s="133"/>
      <c r="CO59" s="133"/>
      <c r="CP59" s="133"/>
      <c r="CQ59" s="133"/>
      <c r="CR59" s="133"/>
      <c r="CS59" s="133"/>
      <c r="CT59" s="133"/>
      <c r="CU59" s="133"/>
      <c r="CV59" s="133"/>
      <c r="CW59" s="133"/>
      <c r="CX59" s="133"/>
      <c r="CY59" s="135"/>
      <c r="CZ59" s="135"/>
      <c r="DA59" s="102"/>
      <c r="DB59" s="102"/>
      <c r="DC59" s="102"/>
      <c r="DD59" s="102"/>
      <c r="DE59" s="102"/>
      <c r="DF59" s="102"/>
      <c r="DG59" s="102"/>
      <c r="DH59" s="102"/>
      <c r="DI59" s="102"/>
    </row>
    <row r="60" spans="2:113" ht="18" customHeight="1" x14ac:dyDescent="0.4">
      <c r="B60" s="124">
        <v>50</v>
      </c>
      <c r="C60" s="125"/>
      <c r="D60" s="126"/>
      <c r="E60" s="126" t="s">
        <v>62</v>
      </c>
      <c r="F60" s="127"/>
      <c r="G60" s="128"/>
      <c r="H60" s="142"/>
      <c r="I60" s="129" t="str">
        <f>IF(G60&gt;0,H60/G60,"")</f>
        <v/>
      </c>
      <c r="J60" s="130"/>
      <c r="K60" s="130"/>
      <c r="L60" s="143"/>
      <c r="M60" s="143"/>
      <c r="N60" s="145"/>
      <c r="O60" s="146"/>
      <c r="P60" s="146"/>
      <c r="Q60" s="146"/>
      <c r="R60" s="146"/>
      <c r="S60" s="146"/>
      <c r="T60" s="146"/>
      <c r="U60" s="146"/>
      <c r="V60" s="146"/>
      <c r="W60" s="146"/>
      <c r="X60" s="146"/>
      <c r="Y60" s="146"/>
      <c r="Z60" s="146"/>
      <c r="AA60" s="146"/>
      <c r="AB60" s="146"/>
      <c r="AC60" s="146"/>
      <c r="AD60" s="146"/>
      <c r="AE60" s="146"/>
      <c r="AF60" s="146"/>
      <c r="AG60" s="146"/>
      <c r="AH60" s="146"/>
      <c r="AI60" s="146"/>
      <c r="AJ60" s="146"/>
      <c r="AK60" s="146"/>
      <c r="AL60" s="146"/>
      <c r="AM60" s="146"/>
      <c r="AN60" s="146"/>
      <c r="AO60" s="146"/>
      <c r="AP60" s="146"/>
      <c r="AQ60" s="146"/>
      <c r="AR60" s="146"/>
      <c r="AS60" s="146"/>
      <c r="AT60" s="146"/>
      <c r="AU60" s="146"/>
      <c r="AV60" s="146"/>
      <c r="AW60" s="146"/>
      <c r="AX60" s="146"/>
      <c r="AY60" s="146"/>
      <c r="AZ60" s="146"/>
      <c r="BA60" s="146"/>
      <c r="BB60" s="146"/>
      <c r="BC60" s="146"/>
      <c r="BD60" s="146"/>
      <c r="BE60" s="146"/>
      <c r="BF60" s="146"/>
      <c r="BG60" s="146"/>
      <c r="BH60" s="146"/>
      <c r="BI60" s="146"/>
      <c r="BJ60" s="146"/>
      <c r="BK60" s="146"/>
      <c r="BL60" s="146"/>
      <c r="BM60" s="146"/>
      <c r="BN60" s="146"/>
      <c r="BO60" s="146"/>
      <c r="BP60" s="146"/>
      <c r="BQ60" s="146"/>
      <c r="BR60" s="146"/>
      <c r="BS60" s="146"/>
      <c r="BT60" s="146"/>
      <c r="BU60" s="146"/>
      <c r="BV60" s="146"/>
      <c r="BW60" s="146"/>
      <c r="BX60" s="146"/>
      <c r="BY60" s="146"/>
      <c r="BZ60" s="146"/>
      <c r="CA60" s="146"/>
      <c r="CB60" s="146"/>
      <c r="CC60" s="146"/>
      <c r="CD60" s="146"/>
      <c r="CE60" s="146"/>
      <c r="CF60" s="146"/>
      <c r="CG60" s="146"/>
      <c r="CH60" s="146"/>
      <c r="CI60" s="146"/>
      <c r="CJ60" s="146"/>
      <c r="CK60" s="146"/>
      <c r="CL60" s="146"/>
      <c r="CM60" s="146"/>
      <c r="CN60" s="146"/>
      <c r="CO60" s="146"/>
      <c r="CP60" s="146"/>
      <c r="CQ60" s="146"/>
      <c r="CR60" s="146"/>
      <c r="CS60" s="146"/>
      <c r="CT60" s="146"/>
      <c r="CU60" s="146"/>
      <c r="CV60" s="146"/>
      <c r="CW60" s="146"/>
      <c r="CX60" s="146"/>
      <c r="CY60" s="146"/>
      <c r="CZ60" s="146"/>
    </row>
  </sheetData>
  <mergeCells count="13">
    <mergeCell ref="G9:G10"/>
    <mergeCell ref="H9:H10"/>
    <mergeCell ref="I9:I10"/>
    <mergeCell ref="B8:B10"/>
    <mergeCell ref="C8:E8"/>
    <mergeCell ref="F8:F10"/>
    <mergeCell ref="J8:M8"/>
    <mergeCell ref="G8:I8"/>
    <mergeCell ref="C9:C10"/>
    <mergeCell ref="D9:D10"/>
    <mergeCell ref="E9:E10"/>
    <mergeCell ref="J9:K9"/>
    <mergeCell ref="L9:M9"/>
  </mergeCells>
  <phoneticPr fontId="4"/>
  <conditionalFormatting sqref="N11:CZ60">
    <cfRule type="expression" dxfId="10" priority="12">
      <formula>IF(AND(N$9&gt;=$L11, N$9&lt;=$M11)=TRUE, TRUE, FALSE)</formula>
    </cfRule>
    <cfRule type="expression" dxfId="9" priority="13">
      <formula>IF(AND(N$9&gt;=$J11, N$9&lt;=$K11)=TRUE, TRUE, FALSE)</formula>
    </cfRule>
  </conditionalFormatting>
  <conditionalFormatting sqref="N8:CZ60">
    <cfRule type="expression" dxfId="8" priority="9">
      <formula>DAY(N$9)=1</formula>
    </cfRule>
  </conditionalFormatting>
  <conditionalFormatting sqref="N9:CZ60">
    <cfRule type="expression" dxfId="7" priority="10">
      <formula>DAY(N$9)&gt;1</formula>
    </cfRule>
    <cfRule type="expression" dxfId="6" priority="11">
      <formula>OR(OR(WEEKDAY(N$10)=1, WEEKDAY(N$10)=7), COUNTIF(HOLIDAYTBL,N$9)&gt;0)</formula>
    </cfRule>
  </conditionalFormatting>
  <conditionalFormatting sqref="I11:I48">
    <cfRule type="dataBar" priority="1">
      <dataBar>
        <cfvo type="percent" val="0"/>
        <cfvo type="percent" val="100"/>
        <color theme="0" tint="-0.249977111117893"/>
      </dataBar>
      <extLst>
        <ext xmlns:x14="http://schemas.microsoft.com/office/spreadsheetml/2009/9/main" uri="{B025F937-C7B1-47D3-B67F-A62EFF666E3E}">
          <x14:id>{42EED4E4-EFCA-48F8-B60A-6321F4360A48}</x14:id>
        </ext>
      </extLst>
    </cfRule>
  </conditionalFormatting>
  <pageMargins left="0.23622047244094491" right="0.23622047244094491" top="0.74803149606299213" bottom="0.74803149606299213" header="0.31496062992125984" footer="0.31496062992125984"/>
  <pageSetup paperSize="8" scale="47" fitToHeight="0" orientation="landscape" r:id="rId1"/>
  <headerFooter alignWithMargins="0">
    <oddHeader>&amp;R&amp;16&amp;D</oddHead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EED4E4-EFCA-48F8-B60A-6321F4360A48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I11:I48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I54"/>
  <sheetViews>
    <sheetView showGridLines="0" zoomScale="70" zoomScaleNormal="70" zoomScaleSheetLayoutView="7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V30" sqref="V30"/>
    </sheetView>
  </sheetViews>
  <sheetFormatPr defaultRowHeight="14.25" x14ac:dyDescent="0.2"/>
  <cols>
    <col min="1" max="1" width="3.875" style="11" bestFit="1" customWidth="1"/>
    <col min="2" max="2" width="5" bestFit="1" customWidth="1"/>
    <col min="3" max="5" width="9.875" bestFit="1" customWidth="1"/>
    <col min="6" max="6" width="7" bestFit="1" customWidth="1"/>
    <col min="7" max="8" width="11.75" bestFit="1" customWidth="1"/>
    <col min="9" max="10" width="7.125" customWidth="1"/>
    <col min="11" max="12" width="7.125" style="39" customWidth="1"/>
    <col min="13" max="13" width="11.125" style="39" bestFit="1" customWidth="1"/>
    <col min="14" max="21" width="7.625" customWidth="1"/>
    <col min="22" max="73" width="7.625" style="12" customWidth="1"/>
    <col min="74" max="104" width="7.625" style="35" customWidth="1"/>
  </cols>
  <sheetData>
    <row r="1" spans="2:113" s="11" customFormat="1" ht="16.5" customHeight="1" x14ac:dyDescent="0.15">
      <c r="B1" s="10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4"/>
      <c r="BO1" s="14"/>
      <c r="BP1" s="14"/>
      <c r="BQ1" s="13"/>
      <c r="BR1" s="13"/>
      <c r="BS1" s="13"/>
      <c r="BT1" s="13"/>
      <c r="BU1" s="13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</row>
    <row r="2" spans="2:113" ht="25.5" customHeight="1" x14ac:dyDescent="0.15">
      <c r="B2" s="82" t="s">
        <v>10</v>
      </c>
      <c r="C2" s="85" t="s">
        <v>0</v>
      </c>
      <c r="D2" s="86"/>
      <c r="E2" s="87"/>
      <c r="F2" s="88" t="s">
        <v>12</v>
      </c>
      <c r="G2" s="91" t="s">
        <v>4</v>
      </c>
      <c r="H2" s="92"/>
      <c r="I2" s="92"/>
      <c r="J2" s="93"/>
      <c r="K2" s="86" t="s">
        <v>63</v>
      </c>
      <c r="L2" s="86"/>
      <c r="M2" s="86"/>
      <c r="N2" s="64">
        <f ca="1">N3</f>
        <v>44255</v>
      </c>
      <c r="O2" s="64">
        <f ca="1">IF(MONTH(O3)&lt;&gt;MONTH(N3),O3,IF(DAY(O3)=2,"月",""))</f>
        <v>44262</v>
      </c>
      <c r="P2" s="64" t="str">
        <f t="shared" ref="P2:CA2" ca="1" si="0">IF(MONTH(P3)&lt;&gt;MONTH(O3),P3,IF(DAY(P3)=2,"月",""))</f>
        <v/>
      </c>
      <c r="Q2" s="64" t="str">
        <f t="shared" ca="1" si="0"/>
        <v/>
      </c>
      <c r="R2" s="64" t="str">
        <f t="shared" ca="1" si="0"/>
        <v/>
      </c>
      <c r="S2" s="64">
        <f t="shared" ca="1" si="0"/>
        <v>44290</v>
      </c>
      <c r="T2" s="64" t="str">
        <f t="shared" ca="1" si="0"/>
        <v/>
      </c>
      <c r="U2" s="64" t="str">
        <f t="shared" ca="1" si="0"/>
        <v/>
      </c>
      <c r="V2" s="64" t="str">
        <f t="shared" ca="1" si="0"/>
        <v/>
      </c>
      <c r="W2" s="64">
        <f t="shared" ca="1" si="0"/>
        <v>44318</v>
      </c>
      <c r="X2" s="64" t="str">
        <f t="shared" ca="1" si="0"/>
        <v/>
      </c>
      <c r="Y2" s="64" t="str">
        <f t="shared" ca="1" si="0"/>
        <v/>
      </c>
      <c r="Z2" s="64" t="str">
        <f t="shared" ca="1" si="0"/>
        <v/>
      </c>
      <c r="AA2" s="64" t="str">
        <f t="shared" ca="1" si="0"/>
        <v/>
      </c>
      <c r="AB2" s="64">
        <f t="shared" ca="1" si="0"/>
        <v>44353</v>
      </c>
      <c r="AC2" s="64" t="str">
        <f t="shared" ca="1" si="0"/>
        <v/>
      </c>
      <c r="AD2" s="64" t="str">
        <f t="shared" ca="1" si="0"/>
        <v/>
      </c>
      <c r="AE2" s="64" t="str">
        <f t="shared" ca="1" si="0"/>
        <v/>
      </c>
      <c r="AF2" s="64">
        <f t="shared" ca="1" si="0"/>
        <v>44381</v>
      </c>
      <c r="AG2" s="64" t="str">
        <f t="shared" ca="1" si="0"/>
        <v/>
      </c>
      <c r="AH2" s="64" t="str">
        <f t="shared" ca="1" si="0"/>
        <v/>
      </c>
      <c r="AI2" s="64" t="str">
        <f t="shared" ca="1" si="0"/>
        <v/>
      </c>
      <c r="AJ2" s="64">
        <f t="shared" ca="1" si="0"/>
        <v>44409</v>
      </c>
      <c r="AK2" s="64" t="str">
        <f t="shared" ca="1" si="0"/>
        <v/>
      </c>
      <c r="AL2" s="64" t="str">
        <f t="shared" ca="1" si="0"/>
        <v/>
      </c>
      <c r="AM2" s="64" t="str">
        <f t="shared" ca="1" si="0"/>
        <v/>
      </c>
      <c r="AN2" s="64" t="str">
        <f t="shared" ca="1" si="0"/>
        <v/>
      </c>
      <c r="AO2" s="64">
        <f t="shared" ca="1" si="0"/>
        <v>44444</v>
      </c>
      <c r="AP2" s="64" t="str">
        <f t="shared" ca="1" si="0"/>
        <v/>
      </c>
      <c r="AQ2" s="64" t="str">
        <f t="shared" ca="1" si="0"/>
        <v/>
      </c>
      <c r="AR2" s="64" t="str">
        <f t="shared" ca="1" si="0"/>
        <v/>
      </c>
      <c r="AS2" s="64">
        <f t="shared" ca="1" si="0"/>
        <v>44472</v>
      </c>
      <c r="AT2" s="64" t="str">
        <f t="shared" ca="1" si="0"/>
        <v/>
      </c>
      <c r="AU2" s="64" t="str">
        <f t="shared" ca="1" si="0"/>
        <v/>
      </c>
      <c r="AV2" s="64" t="str">
        <f t="shared" ca="1" si="0"/>
        <v/>
      </c>
      <c r="AW2" s="64" t="str">
        <f t="shared" ca="1" si="0"/>
        <v/>
      </c>
      <c r="AX2" s="64">
        <f t="shared" ca="1" si="0"/>
        <v>44507</v>
      </c>
      <c r="AY2" s="64" t="str">
        <f t="shared" ca="1" si="0"/>
        <v/>
      </c>
      <c r="AZ2" s="64" t="str">
        <f t="shared" ca="1" si="0"/>
        <v/>
      </c>
      <c r="BA2" s="64" t="str">
        <f t="shared" ca="1" si="0"/>
        <v/>
      </c>
      <c r="BB2" s="64">
        <f t="shared" ca="1" si="0"/>
        <v>44535</v>
      </c>
      <c r="BC2" s="64" t="str">
        <f t="shared" ca="1" si="0"/>
        <v/>
      </c>
      <c r="BD2" s="64" t="str">
        <f t="shared" ca="1" si="0"/>
        <v/>
      </c>
      <c r="BE2" s="64" t="str">
        <f t="shared" ca="1" si="0"/>
        <v/>
      </c>
      <c r="BF2" s="64">
        <f t="shared" ca="1" si="0"/>
        <v>44563</v>
      </c>
      <c r="BG2" s="64" t="str">
        <f t="shared" ca="1" si="0"/>
        <v/>
      </c>
      <c r="BH2" s="64" t="str">
        <f t="shared" ca="1" si="0"/>
        <v/>
      </c>
      <c r="BI2" s="64" t="str">
        <f t="shared" ca="1" si="0"/>
        <v/>
      </c>
      <c r="BJ2" s="64" t="str">
        <f t="shared" ca="1" si="0"/>
        <v/>
      </c>
      <c r="BK2" s="64">
        <f t="shared" ca="1" si="0"/>
        <v>44598</v>
      </c>
      <c r="BL2" s="64" t="str">
        <f t="shared" ca="1" si="0"/>
        <v/>
      </c>
      <c r="BM2" s="64" t="str">
        <f t="shared" ca="1" si="0"/>
        <v/>
      </c>
      <c r="BN2" s="64" t="str">
        <f t="shared" ca="1" si="0"/>
        <v/>
      </c>
      <c r="BO2" s="64">
        <f t="shared" ca="1" si="0"/>
        <v>44626</v>
      </c>
      <c r="BP2" s="64" t="str">
        <f t="shared" ca="1" si="0"/>
        <v/>
      </c>
      <c r="BQ2" s="64" t="str">
        <f t="shared" ca="1" si="0"/>
        <v/>
      </c>
      <c r="BR2" s="64" t="str">
        <f t="shared" ca="1" si="0"/>
        <v/>
      </c>
      <c r="BS2" s="64">
        <f t="shared" ca="1" si="0"/>
        <v>44654</v>
      </c>
      <c r="BT2" s="64" t="str">
        <f t="shared" ca="1" si="0"/>
        <v/>
      </c>
      <c r="BU2" s="64" t="str">
        <f t="shared" ca="1" si="0"/>
        <v/>
      </c>
      <c r="BV2" s="64" t="str">
        <f t="shared" ca="1" si="0"/>
        <v/>
      </c>
      <c r="BW2" s="64">
        <f t="shared" ca="1" si="0"/>
        <v>44682</v>
      </c>
      <c r="BX2" s="64" t="str">
        <f t="shared" ca="1" si="0"/>
        <v/>
      </c>
      <c r="BY2" s="64" t="str">
        <f t="shared" ca="1" si="0"/>
        <v/>
      </c>
      <c r="BZ2" s="64" t="str">
        <f t="shared" ca="1" si="0"/>
        <v/>
      </c>
      <c r="CA2" s="64" t="str">
        <f t="shared" ca="1" si="0"/>
        <v/>
      </c>
      <c r="CB2" s="64">
        <f t="shared" ref="CB2:CZ2" ca="1" si="1">IF(MONTH(CB3)&lt;&gt;MONTH(CA3),CB3,IF(DAY(CB3)=2,"月",""))</f>
        <v>44717</v>
      </c>
      <c r="CC2" s="64" t="str">
        <f t="shared" ca="1" si="1"/>
        <v/>
      </c>
      <c r="CD2" s="64" t="str">
        <f t="shared" ca="1" si="1"/>
        <v/>
      </c>
      <c r="CE2" s="64" t="str">
        <f t="shared" ca="1" si="1"/>
        <v/>
      </c>
      <c r="CF2" s="64">
        <f t="shared" ca="1" si="1"/>
        <v>44745</v>
      </c>
      <c r="CG2" s="64" t="str">
        <f t="shared" ca="1" si="1"/>
        <v/>
      </c>
      <c r="CH2" s="64" t="str">
        <f t="shared" ca="1" si="1"/>
        <v/>
      </c>
      <c r="CI2" s="64" t="str">
        <f t="shared" ca="1" si="1"/>
        <v/>
      </c>
      <c r="CJ2" s="64" t="str">
        <f t="shared" ca="1" si="1"/>
        <v/>
      </c>
      <c r="CK2" s="64">
        <f t="shared" ca="1" si="1"/>
        <v>44780</v>
      </c>
      <c r="CL2" s="64" t="str">
        <f t="shared" ca="1" si="1"/>
        <v/>
      </c>
      <c r="CM2" s="64" t="str">
        <f t="shared" ca="1" si="1"/>
        <v/>
      </c>
      <c r="CN2" s="64" t="str">
        <f t="shared" ca="1" si="1"/>
        <v/>
      </c>
      <c r="CO2" s="64">
        <f t="shared" ca="1" si="1"/>
        <v>44808</v>
      </c>
      <c r="CP2" s="64" t="str">
        <f t="shared" ca="1" si="1"/>
        <v/>
      </c>
      <c r="CQ2" s="64" t="str">
        <f t="shared" ca="1" si="1"/>
        <v/>
      </c>
      <c r="CR2" s="64" t="str">
        <f t="shared" ca="1" si="1"/>
        <v/>
      </c>
      <c r="CS2" s="64">
        <f t="shared" ca="1" si="1"/>
        <v>44836</v>
      </c>
      <c r="CT2" s="64" t="str">
        <f t="shared" ca="1" si="1"/>
        <v/>
      </c>
      <c r="CU2" s="64" t="str">
        <f t="shared" ca="1" si="1"/>
        <v/>
      </c>
      <c r="CV2" s="64" t="str">
        <f t="shared" ca="1" si="1"/>
        <v/>
      </c>
      <c r="CW2" s="64" t="str">
        <f t="shared" ca="1" si="1"/>
        <v/>
      </c>
      <c r="CX2" s="64">
        <f t="shared" ca="1" si="1"/>
        <v>44871</v>
      </c>
      <c r="CY2" s="64" t="str">
        <f t="shared" ca="1" si="1"/>
        <v/>
      </c>
      <c r="CZ2" s="64" t="str">
        <f t="shared" ca="1" si="1"/>
        <v/>
      </c>
    </row>
    <row r="3" spans="2:113" ht="17.25" customHeight="1" x14ac:dyDescent="0.15">
      <c r="B3" s="83"/>
      <c r="C3" s="94" t="s">
        <v>1</v>
      </c>
      <c r="D3" s="96" t="s">
        <v>2</v>
      </c>
      <c r="E3" s="96" t="s">
        <v>9</v>
      </c>
      <c r="F3" s="89"/>
      <c r="G3" s="97" t="s">
        <v>7</v>
      </c>
      <c r="H3" s="97"/>
      <c r="I3" s="97" t="s">
        <v>3</v>
      </c>
      <c r="J3" s="97"/>
      <c r="K3" s="76" t="s">
        <v>11</v>
      </c>
      <c r="L3" s="78" t="s">
        <v>3</v>
      </c>
      <c r="M3" s="80" t="s">
        <v>8</v>
      </c>
      <c r="N3" s="59">
        <f ca="1">TODAY()-25</f>
        <v>44255</v>
      </c>
      <c r="O3" s="59">
        <f ca="1">N3+7</f>
        <v>44262</v>
      </c>
      <c r="P3" s="59">
        <f t="shared" ref="P3:CA3" ca="1" si="2">O3+7</f>
        <v>44269</v>
      </c>
      <c r="Q3" s="59">
        <f t="shared" ca="1" si="2"/>
        <v>44276</v>
      </c>
      <c r="R3" s="59">
        <f t="shared" ca="1" si="2"/>
        <v>44283</v>
      </c>
      <c r="S3" s="59">
        <f t="shared" ca="1" si="2"/>
        <v>44290</v>
      </c>
      <c r="T3" s="59">
        <f t="shared" ca="1" si="2"/>
        <v>44297</v>
      </c>
      <c r="U3" s="59">
        <f t="shared" ca="1" si="2"/>
        <v>44304</v>
      </c>
      <c r="V3" s="59">
        <f t="shared" ca="1" si="2"/>
        <v>44311</v>
      </c>
      <c r="W3" s="59">
        <f t="shared" ca="1" si="2"/>
        <v>44318</v>
      </c>
      <c r="X3" s="59">
        <f t="shared" ca="1" si="2"/>
        <v>44325</v>
      </c>
      <c r="Y3" s="59">
        <f t="shared" ca="1" si="2"/>
        <v>44332</v>
      </c>
      <c r="Z3" s="59">
        <f t="shared" ca="1" si="2"/>
        <v>44339</v>
      </c>
      <c r="AA3" s="59">
        <f t="shared" ca="1" si="2"/>
        <v>44346</v>
      </c>
      <c r="AB3" s="59">
        <f t="shared" ca="1" si="2"/>
        <v>44353</v>
      </c>
      <c r="AC3" s="59">
        <f t="shared" ca="1" si="2"/>
        <v>44360</v>
      </c>
      <c r="AD3" s="59">
        <f t="shared" ca="1" si="2"/>
        <v>44367</v>
      </c>
      <c r="AE3" s="59">
        <f t="shared" ca="1" si="2"/>
        <v>44374</v>
      </c>
      <c r="AF3" s="59">
        <f t="shared" ca="1" si="2"/>
        <v>44381</v>
      </c>
      <c r="AG3" s="59">
        <f t="shared" ca="1" si="2"/>
        <v>44388</v>
      </c>
      <c r="AH3" s="59">
        <f t="shared" ca="1" si="2"/>
        <v>44395</v>
      </c>
      <c r="AI3" s="59">
        <f t="shared" ca="1" si="2"/>
        <v>44402</v>
      </c>
      <c r="AJ3" s="59">
        <f t="shared" ca="1" si="2"/>
        <v>44409</v>
      </c>
      <c r="AK3" s="59">
        <f t="shared" ca="1" si="2"/>
        <v>44416</v>
      </c>
      <c r="AL3" s="59">
        <f t="shared" ca="1" si="2"/>
        <v>44423</v>
      </c>
      <c r="AM3" s="59">
        <f t="shared" ca="1" si="2"/>
        <v>44430</v>
      </c>
      <c r="AN3" s="59">
        <f t="shared" ca="1" si="2"/>
        <v>44437</v>
      </c>
      <c r="AO3" s="59">
        <f t="shared" ca="1" si="2"/>
        <v>44444</v>
      </c>
      <c r="AP3" s="59">
        <f t="shared" ca="1" si="2"/>
        <v>44451</v>
      </c>
      <c r="AQ3" s="59">
        <f t="shared" ca="1" si="2"/>
        <v>44458</v>
      </c>
      <c r="AR3" s="59">
        <f t="shared" ca="1" si="2"/>
        <v>44465</v>
      </c>
      <c r="AS3" s="59">
        <f t="shared" ca="1" si="2"/>
        <v>44472</v>
      </c>
      <c r="AT3" s="59">
        <f t="shared" ca="1" si="2"/>
        <v>44479</v>
      </c>
      <c r="AU3" s="59">
        <f t="shared" ca="1" si="2"/>
        <v>44486</v>
      </c>
      <c r="AV3" s="59">
        <f t="shared" ca="1" si="2"/>
        <v>44493</v>
      </c>
      <c r="AW3" s="59">
        <f t="shared" ca="1" si="2"/>
        <v>44500</v>
      </c>
      <c r="AX3" s="59">
        <f t="shared" ca="1" si="2"/>
        <v>44507</v>
      </c>
      <c r="AY3" s="59">
        <f t="shared" ca="1" si="2"/>
        <v>44514</v>
      </c>
      <c r="AZ3" s="59">
        <f t="shared" ca="1" si="2"/>
        <v>44521</v>
      </c>
      <c r="BA3" s="59">
        <f t="shared" ca="1" si="2"/>
        <v>44528</v>
      </c>
      <c r="BB3" s="59">
        <f t="shared" ca="1" si="2"/>
        <v>44535</v>
      </c>
      <c r="BC3" s="59">
        <f t="shared" ca="1" si="2"/>
        <v>44542</v>
      </c>
      <c r="BD3" s="59">
        <f t="shared" ca="1" si="2"/>
        <v>44549</v>
      </c>
      <c r="BE3" s="59">
        <f t="shared" ca="1" si="2"/>
        <v>44556</v>
      </c>
      <c r="BF3" s="59">
        <f t="shared" ca="1" si="2"/>
        <v>44563</v>
      </c>
      <c r="BG3" s="59">
        <f t="shared" ca="1" si="2"/>
        <v>44570</v>
      </c>
      <c r="BH3" s="59">
        <f t="shared" ca="1" si="2"/>
        <v>44577</v>
      </c>
      <c r="BI3" s="59">
        <f t="shared" ca="1" si="2"/>
        <v>44584</v>
      </c>
      <c r="BJ3" s="59">
        <f t="shared" ca="1" si="2"/>
        <v>44591</v>
      </c>
      <c r="BK3" s="59">
        <f t="shared" ca="1" si="2"/>
        <v>44598</v>
      </c>
      <c r="BL3" s="59">
        <f t="shared" ca="1" si="2"/>
        <v>44605</v>
      </c>
      <c r="BM3" s="59">
        <f t="shared" ca="1" si="2"/>
        <v>44612</v>
      </c>
      <c r="BN3" s="59">
        <f t="shared" ca="1" si="2"/>
        <v>44619</v>
      </c>
      <c r="BO3" s="59">
        <f t="shared" ca="1" si="2"/>
        <v>44626</v>
      </c>
      <c r="BP3" s="59">
        <f t="shared" ca="1" si="2"/>
        <v>44633</v>
      </c>
      <c r="BQ3" s="59">
        <f t="shared" ca="1" si="2"/>
        <v>44640</v>
      </c>
      <c r="BR3" s="59">
        <f t="shared" ca="1" si="2"/>
        <v>44647</v>
      </c>
      <c r="BS3" s="59">
        <f t="shared" ca="1" si="2"/>
        <v>44654</v>
      </c>
      <c r="BT3" s="59">
        <f t="shared" ca="1" si="2"/>
        <v>44661</v>
      </c>
      <c r="BU3" s="59">
        <f t="shared" ca="1" si="2"/>
        <v>44668</v>
      </c>
      <c r="BV3" s="59">
        <f t="shared" ca="1" si="2"/>
        <v>44675</v>
      </c>
      <c r="BW3" s="59">
        <f t="shared" ca="1" si="2"/>
        <v>44682</v>
      </c>
      <c r="BX3" s="59">
        <f t="shared" ca="1" si="2"/>
        <v>44689</v>
      </c>
      <c r="BY3" s="59">
        <f t="shared" ca="1" si="2"/>
        <v>44696</v>
      </c>
      <c r="BZ3" s="59">
        <f t="shared" ca="1" si="2"/>
        <v>44703</v>
      </c>
      <c r="CA3" s="59">
        <f t="shared" ca="1" si="2"/>
        <v>44710</v>
      </c>
      <c r="CB3" s="59">
        <f t="shared" ref="CB3:CZ3" ca="1" si="3">CA3+7</f>
        <v>44717</v>
      </c>
      <c r="CC3" s="59">
        <f t="shared" ca="1" si="3"/>
        <v>44724</v>
      </c>
      <c r="CD3" s="59">
        <f t="shared" ca="1" si="3"/>
        <v>44731</v>
      </c>
      <c r="CE3" s="59">
        <f t="shared" ca="1" si="3"/>
        <v>44738</v>
      </c>
      <c r="CF3" s="59">
        <f t="shared" ca="1" si="3"/>
        <v>44745</v>
      </c>
      <c r="CG3" s="59">
        <f t="shared" ca="1" si="3"/>
        <v>44752</v>
      </c>
      <c r="CH3" s="59">
        <f t="shared" ca="1" si="3"/>
        <v>44759</v>
      </c>
      <c r="CI3" s="59">
        <f t="shared" ca="1" si="3"/>
        <v>44766</v>
      </c>
      <c r="CJ3" s="59">
        <f t="shared" ca="1" si="3"/>
        <v>44773</v>
      </c>
      <c r="CK3" s="59">
        <f t="shared" ca="1" si="3"/>
        <v>44780</v>
      </c>
      <c r="CL3" s="59">
        <f t="shared" ca="1" si="3"/>
        <v>44787</v>
      </c>
      <c r="CM3" s="59">
        <f t="shared" ca="1" si="3"/>
        <v>44794</v>
      </c>
      <c r="CN3" s="59">
        <f t="shared" ca="1" si="3"/>
        <v>44801</v>
      </c>
      <c r="CO3" s="59">
        <f t="shared" ca="1" si="3"/>
        <v>44808</v>
      </c>
      <c r="CP3" s="59">
        <f t="shared" ca="1" si="3"/>
        <v>44815</v>
      </c>
      <c r="CQ3" s="59">
        <f t="shared" ca="1" si="3"/>
        <v>44822</v>
      </c>
      <c r="CR3" s="59">
        <f t="shared" ca="1" si="3"/>
        <v>44829</v>
      </c>
      <c r="CS3" s="59">
        <f t="shared" ca="1" si="3"/>
        <v>44836</v>
      </c>
      <c r="CT3" s="59">
        <f t="shared" ca="1" si="3"/>
        <v>44843</v>
      </c>
      <c r="CU3" s="59">
        <f t="shared" ca="1" si="3"/>
        <v>44850</v>
      </c>
      <c r="CV3" s="59">
        <f t="shared" ca="1" si="3"/>
        <v>44857</v>
      </c>
      <c r="CW3" s="59">
        <f t="shared" ca="1" si="3"/>
        <v>44864</v>
      </c>
      <c r="CX3" s="59">
        <f t="shared" ca="1" si="3"/>
        <v>44871</v>
      </c>
      <c r="CY3" s="59">
        <f t="shared" ca="1" si="3"/>
        <v>44878</v>
      </c>
      <c r="CZ3" s="59">
        <f t="shared" ca="1" si="3"/>
        <v>44885</v>
      </c>
    </row>
    <row r="4" spans="2:113" ht="17.25" x14ac:dyDescent="0.15">
      <c r="B4" s="84"/>
      <c r="C4" s="95"/>
      <c r="D4" s="96"/>
      <c r="E4" s="96"/>
      <c r="F4" s="90"/>
      <c r="G4" s="63" t="s">
        <v>5</v>
      </c>
      <c r="H4" s="4" t="s">
        <v>6</v>
      </c>
      <c r="I4" s="63" t="s">
        <v>5</v>
      </c>
      <c r="J4" s="4" t="s">
        <v>6</v>
      </c>
      <c r="K4" s="77"/>
      <c r="L4" s="79"/>
      <c r="M4" s="81"/>
      <c r="N4" s="16">
        <f ca="1">N3</f>
        <v>44255</v>
      </c>
      <c r="O4" s="15">
        <f t="shared" ref="O4:BZ4" ca="1" si="4">O3</f>
        <v>44262</v>
      </c>
      <c r="P4" s="15">
        <f t="shared" ca="1" si="4"/>
        <v>44269</v>
      </c>
      <c r="Q4" s="15">
        <f t="shared" ca="1" si="4"/>
        <v>44276</v>
      </c>
      <c r="R4" s="15">
        <f t="shared" ca="1" si="4"/>
        <v>44283</v>
      </c>
      <c r="S4" s="15">
        <f t="shared" ca="1" si="4"/>
        <v>44290</v>
      </c>
      <c r="T4" s="15">
        <f t="shared" ca="1" si="4"/>
        <v>44297</v>
      </c>
      <c r="U4" s="15">
        <f t="shared" ca="1" si="4"/>
        <v>44304</v>
      </c>
      <c r="V4" s="15">
        <f t="shared" ca="1" si="4"/>
        <v>44311</v>
      </c>
      <c r="W4" s="15">
        <f t="shared" ca="1" si="4"/>
        <v>44318</v>
      </c>
      <c r="X4" s="15">
        <f t="shared" ca="1" si="4"/>
        <v>44325</v>
      </c>
      <c r="Y4" s="15">
        <f t="shared" ca="1" si="4"/>
        <v>44332</v>
      </c>
      <c r="Z4" s="15">
        <f t="shared" ca="1" si="4"/>
        <v>44339</v>
      </c>
      <c r="AA4" s="15">
        <f t="shared" ca="1" si="4"/>
        <v>44346</v>
      </c>
      <c r="AB4" s="15">
        <f t="shared" ca="1" si="4"/>
        <v>44353</v>
      </c>
      <c r="AC4" s="15">
        <f t="shared" ca="1" si="4"/>
        <v>44360</v>
      </c>
      <c r="AD4" s="15">
        <f t="shared" ca="1" si="4"/>
        <v>44367</v>
      </c>
      <c r="AE4" s="15">
        <f t="shared" ca="1" si="4"/>
        <v>44374</v>
      </c>
      <c r="AF4" s="15">
        <f t="shared" ca="1" si="4"/>
        <v>44381</v>
      </c>
      <c r="AG4" s="15">
        <f t="shared" ca="1" si="4"/>
        <v>44388</v>
      </c>
      <c r="AH4" s="15">
        <f t="shared" ca="1" si="4"/>
        <v>44395</v>
      </c>
      <c r="AI4" s="15">
        <f t="shared" ca="1" si="4"/>
        <v>44402</v>
      </c>
      <c r="AJ4" s="15">
        <f t="shared" ca="1" si="4"/>
        <v>44409</v>
      </c>
      <c r="AK4" s="15">
        <f t="shared" ca="1" si="4"/>
        <v>44416</v>
      </c>
      <c r="AL4" s="15">
        <f t="shared" ca="1" si="4"/>
        <v>44423</v>
      </c>
      <c r="AM4" s="15">
        <f t="shared" ca="1" si="4"/>
        <v>44430</v>
      </c>
      <c r="AN4" s="15">
        <f t="shared" ca="1" si="4"/>
        <v>44437</v>
      </c>
      <c r="AO4" s="15">
        <f t="shared" ca="1" si="4"/>
        <v>44444</v>
      </c>
      <c r="AP4" s="15">
        <f t="shared" ca="1" si="4"/>
        <v>44451</v>
      </c>
      <c r="AQ4" s="15">
        <f t="shared" ca="1" si="4"/>
        <v>44458</v>
      </c>
      <c r="AR4" s="15">
        <f t="shared" ca="1" si="4"/>
        <v>44465</v>
      </c>
      <c r="AS4" s="15">
        <f t="shared" ca="1" si="4"/>
        <v>44472</v>
      </c>
      <c r="AT4" s="15">
        <f t="shared" ca="1" si="4"/>
        <v>44479</v>
      </c>
      <c r="AU4" s="15">
        <f t="shared" ca="1" si="4"/>
        <v>44486</v>
      </c>
      <c r="AV4" s="15">
        <f t="shared" ca="1" si="4"/>
        <v>44493</v>
      </c>
      <c r="AW4" s="15">
        <f t="shared" ca="1" si="4"/>
        <v>44500</v>
      </c>
      <c r="AX4" s="15">
        <f t="shared" ca="1" si="4"/>
        <v>44507</v>
      </c>
      <c r="AY4" s="15">
        <f t="shared" ca="1" si="4"/>
        <v>44514</v>
      </c>
      <c r="AZ4" s="15">
        <f t="shared" ca="1" si="4"/>
        <v>44521</v>
      </c>
      <c r="BA4" s="15">
        <f t="shared" ca="1" si="4"/>
        <v>44528</v>
      </c>
      <c r="BB4" s="15">
        <f t="shared" ca="1" si="4"/>
        <v>44535</v>
      </c>
      <c r="BC4" s="15">
        <f t="shared" ca="1" si="4"/>
        <v>44542</v>
      </c>
      <c r="BD4" s="15">
        <f t="shared" ca="1" si="4"/>
        <v>44549</v>
      </c>
      <c r="BE4" s="15">
        <f t="shared" ca="1" si="4"/>
        <v>44556</v>
      </c>
      <c r="BF4" s="15">
        <f t="shared" ca="1" si="4"/>
        <v>44563</v>
      </c>
      <c r="BG4" s="15">
        <f t="shared" ca="1" si="4"/>
        <v>44570</v>
      </c>
      <c r="BH4" s="15">
        <f t="shared" ca="1" si="4"/>
        <v>44577</v>
      </c>
      <c r="BI4" s="15">
        <f t="shared" ca="1" si="4"/>
        <v>44584</v>
      </c>
      <c r="BJ4" s="15">
        <f t="shared" ca="1" si="4"/>
        <v>44591</v>
      </c>
      <c r="BK4" s="15">
        <f t="shared" ca="1" si="4"/>
        <v>44598</v>
      </c>
      <c r="BL4" s="15">
        <f t="shared" ca="1" si="4"/>
        <v>44605</v>
      </c>
      <c r="BM4" s="15">
        <f t="shared" ca="1" si="4"/>
        <v>44612</v>
      </c>
      <c r="BN4" s="15">
        <f t="shared" ca="1" si="4"/>
        <v>44619</v>
      </c>
      <c r="BO4" s="15">
        <f t="shared" ca="1" si="4"/>
        <v>44626</v>
      </c>
      <c r="BP4" s="15">
        <f t="shared" ca="1" si="4"/>
        <v>44633</v>
      </c>
      <c r="BQ4" s="15">
        <f t="shared" ca="1" si="4"/>
        <v>44640</v>
      </c>
      <c r="BR4" s="15">
        <f t="shared" ca="1" si="4"/>
        <v>44647</v>
      </c>
      <c r="BS4" s="15">
        <f t="shared" ca="1" si="4"/>
        <v>44654</v>
      </c>
      <c r="BT4" s="15">
        <f t="shared" ca="1" si="4"/>
        <v>44661</v>
      </c>
      <c r="BU4" s="15">
        <f t="shared" ca="1" si="4"/>
        <v>44668</v>
      </c>
      <c r="BV4" s="36">
        <f t="shared" ca="1" si="4"/>
        <v>44675</v>
      </c>
      <c r="BW4" s="36">
        <f t="shared" ca="1" si="4"/>
        <v>44682</v>
      </c>
      <c r="BX4" s="36">
        <f t="shared" ca="1" si="4"/>
        <v>44689</v>
      </c>
      <c r="BY4" s="36">
        <f t="shared" ca="1" si="4"/>
        <v>44696</v>
      </c>
      <c r="BZ4" s="36">
        <f t="shared" ca="1" si="4"/>
        <v>44703</v>
      </c>
      <c r="CA4" s="36">
        <f t="shared" ref="CA4:CZ4" ca="1" si="5">CA3</f>
        <v>44710</v>
      </c>
      <c r="CB4" s="36">
        <f t="shared" ca="1" si="5"/>
        <v>44717</v>
      </c>
      <c r="CC4" s="36">
        <f t="shared" ca="1" si="5"/>
        <v>44724</v>
      </c>
      <c r="CD4" s="36">
        <f t="shared" ca="1" si="5"/>
        <v>44731</v>
      </c>
      <c r="CE4" s="36">
        <f t="shared" ca="1" si="5"/>
        <v>44738</v>
      </c>
      <c r="CF4" s="36">
        <f t="shared" ca="1" si="5"/>
        <v>44745</v>
      </c>
      <c r="CG4" s="36">
        <f t="shared" ca="1" si="5"/>
        <v>44752</v>
      </c>
      <c r="CH4" s="36">
        <f t="shared" ca="1" si="5"/>
        <v>44759</v>
      </c>
      <c r="CI4" s="36">
        <f t="shared" ca="1" si="5"/>
        <v>44766</v>
      </c>
      <c r="CJ4" s="36">
        <f t="shared" ca="1" si="5"/>
        <v>44773</v>
      </c>
      <c r="CK4" s="36">
        <f t="shared" ca="1" si="5"/>
        <v>44780</v>
      </c>
      <c r="CL4" s="36">
        <f t="shared" ca="1" si="5"/>
        <v>44787</v>
      </c>
      <c r="CM4" s="36">
        <f t="shared" ca="1" si="5"/>
        <v>44794</v>
      </c>
      <c r="CN4" s="36">
        <f t="shared" ca="1" si="5"/>
        <v>44801</v>
      </c>
      <c r="CO4" s="36">
        <f t="shared" ca="1" si="5"/>
        <v>44808</v>
      </c>
      <c r="CP4" s="36">
        <f t="shared" ca="1" si="5"/>
        <v>44815</v>
      </c>
      <c r="CQ4" s="36">
        <f t="shared" ca="1" si="5"/>
        <v>44822</v>
      </c>
      <c r="CR4" s="36">
        <f t="shared" ca="1" si="5"/>
        <v>44829</v>
      </c>
      <c r="CS4" s="36">
        <f t="shared" ca="1" si="5"/>
        <v>44836</v>
      </c>
      <c r="CT4" s="36">
        <f t="shared" ca="1" si="5"/>
        <v>44843</v>
      </c>
      <c r="CU4" s="36">
        <f t="shared" ca="1" si="5"/>
        <v>44850</v>
      </c>
      <c r="CV4" s="36">
        <f t="shared" ca="1" si="5"/>
        <v>44857</v>
      </c>
      <c r="CW4" s="36">
        <f t="shared" ca="1" si="5"/>
        <v>44864</v>
      </c>
      <c r="CX4" s="36">
        <f t="shared" ca="1" si="5"/>
        <v>44871</v>
      </c>
      <c r="CY4" s="36">
        <f t="shared" ca="1" si="5"/>
        <v>44878</v>
      </c>
      <c r="CZ4" s="37">
        <f t="shared" ca="1" si="5"/>
        <v>44885</v>
      </c>
    </row>
    <row r="5" spans="2:113" ht="18" customHeight="1" x14ac:dyDescent="0.15">
      <c r="B5" s="40">
        <v>1</v>
      </c>
      <c r="C5" s="51" t="s">
        <v>65</v>
      </c>
      <c r="D5" s="51"/>
      <c r="E5" s="54" t="s">
        <v>13</v>
      </c>
      <c r="F5" s="53" t="s">
        <v>14</v>
      </c>
      <c r="G5" s="47">
        <f ca="1">TODAY()-1</f>
        <v>44279</v>
      </c>
      <c r="H5" s="48">
        <f ca="1">TODAY()+5</f>
        <v>44285</v>
      </c>
      <c r="I5" s="2"/>
      <c r="J5" s="6"/>
      <c r="K5" s="38">
        <v>5</v>
      </c>
      <c r="L5" s="8">
        <v>1</v>
      </c>
      <c r="M5" s="9">
        <f>IF(K5&gt;0,L5/K5,"")</f>
        <v>0.2</v>
      </c>
      <c r="N5" s="42"/>
      <c r="O5" s="42"/>
      <c r="P5" s="42"/>
      <c r="Q5" s="42"/>
      <c r="R5" s="18"/>
      <c r="S5" s="18"/>
      <c r="T5" s="18"/>
      <c r="U5" s="18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9"/>
      <c r="CZ5" s="43"/>
      <c r="DA5" s="12"/>
      <c r="DB5" s="12"/>
      <c r="DC5" s="12"/>
      <c r="DD5" s="12"/>
      <c r="DE5" s="12"/>
      <c r="DF5" s="12"/>
      <c r="DG5" s="12"/>
      <c r="DH5" s="12"/>
      <c r="DI5" s="12"/>
    </row>
    <row r="6" spans="2:113" ht="18" customHeight="1" x14ac:dyDescent="0.15">
      <c r="B6" s="40">
        <v>2</v>
      </c>
      <c r="C6" s="41"/>
      <c r="D6" s="41"/>
      <c r="E6" s="52" t="s">
        <v>67</v>
      </c>
      <c r="F6" s="53" t="s">
        <v>14</v>
      </c>
      <c r="G6" s="47">
        <f ca="1">TODAY()-10</f>
        <v>44270</v>
      </c>
      <c r="H6" s="48">
        <f ca="1">TODAY()-5</f>
        <v>44275</v>
      </c>
      <c r="I6" s="1"/>
      <c r="J6" s="5"/>
      <c r="K6" s="38">
        <v>5</v>
      </c>
      <c r="L6" s="49">
        <v>2</v>
      </c>
      <c r="M6" s="9">
        <f t="shared" ref="M6:M54" si="6">IF(K6&gt;0,L6/K6,"")</f>
        <v>0.4</v>
      </c>
      <c r="N6" s="18"/>
      <c r="O6" s="24"/>
      <c r="P6" s="24"/>
      <c r="Q6" s="24"/>
      <c r="R6" s="19"/>
      <c r="S6" s="19"/>
      <c r="T6" s="19"/>
      <c r="U6" s="19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9"/>
      <c r="CZ6" s="43"/>
      <c r="DA6" s="12"/>
      <c r="DB6" s="12"/>
      <c r="DC6" s="12"/>
      <c r="DD6" s="12"/>
      <c r="DE6" s="12"/>
      <c r="DF6" s="12"/>
      <c r="DG6" s="12"/>
      <c r="DH6" s="12"/>
      <c r="DI6" s="12"/>
    </row>
    <row r="7" spans="2:113" ht="18" customHeight="1" x14ac:dyDescent="0.15">
      <c r="B7" s="40">
        <v>3</v>
      </c>
      <c r="C7" s="41"/>
      <c r="D7" s="41"/>
      <c r="E7" s="54" t="s">
        <v>15</v>
      </c>
      <c r="F7" s="53" t="s">
        <v>14</v>
      </c>
      <c r="G7" s="47">
        <f ca="1">TODAY()-10</f>
        <v>44270</v>
      </c>
      <c r="H7" s="48">
        <f t="shared" ref="H7:H36" ca="1" si="7">TODAY()+5</f>
        <v>44285</v>
      </c>
      <c r="I7" s="1"/>
      <c r="J7" s="5"/>
      <c r="K7" s="38">
        <v>5</v>
      </c>
      <c r="L7" s="55">
        <v>3</v>
      </c>
      <c r="M7" s="9">
        <f t="shared" si="6"/>
        <v>0.6</v>
      </c>
      <c r="N7" s="17"/>
      <c r="O7" s="18"/>
      <c r="P7" s="18"/>
      <c r="Q7" s="18"/>
      <c r="R7" s="19"/>
      <c r="S7" s="19"/>
      <c r="T7" s="19"/>
      <c r="U7" s="19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9"/>
      <c r="CZ7" s="43"/>
      <c r="DA7" s="12"/>
      <c r="DB7" s="12"/>
      <c r="DC7" s="12"/>
      <c r="DD7" s="12"/>
      <c r="DE7" s="12"/>
      <c r="DF7" s="12"/>
      <c r="DG7" s="12"/>
      <c r="DH7" s="12"/>
      <c r="DI7" s="12"/>
    </row>
    <row r="8" spans="2:113" ht="18" customHeight="1" x14ac:dyDescent="0.15">
      <c r="B8" s="40">
        <v>4</v>
      </c>
      <c r="C8" s="41"/>
      <c r="D8" s="44"/>
      <c r="E8" s="52" t="s">
        <v>16</v>
      </c>
      <c r="F8" s="53" t="s">
        <v>14</v>
      </c>
      <c r="G8" s="47">
        <f ca="1">TODAY()-28</f>
        <v>44252</v>
      </c>
      <c r="H8" s="48">
        <f ca="1">TODAY()-20</f>
        <v>44260</v>
      </c>
      <c r="I8" s="63"/>
      <c r="J8" s="4"/>
      <c r="K8" s="38">
        <v>5</v>
      </c>
      <c r="L8" s="56">
        <v>4</v>
      </c>
      <c r="M8" s="9">
        <f t="shared" si="6"/>
        <v>0.8</v>
      </c>
      <c r="N8" s="17"/>
      <c r="O8" s="18"/>
      <c r="P8" s="18"/>
      <c r="Q8" s="18"/>
      <c r="R8" s="19"/>
      <c r="S8" s="19"/>
      <c r="T8" s="19"/>
      <c r="U8" s="19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9"/>
      <c r="CZ8" s="43"/>
      <c r="DA8" s="12"/>
      <c r="DB8" s="12"/>
      <c r="DC8" s="12"/>
      <c r="DD8" s="12"/>
      <c r="DE8" s="12"/>
      <c r="DF8" s="12"/>
      <c r="DG8" s="12"/>
      <c r="DH8" s="12"/>
      <c r="DI8" s="12"/>
    </row>
    <row r="9" spans="2:113" ht="18" customHeight="1" x14ac:dyDescent="0.15">
      <c r="B9" s="40">
        <v>5</v>
      </c>
      <c r="C9" s="41"/>
      <c r="D9" s="41"/>
      <c r="E9" s="54" t="s">
        <v>17</v>
      </c>
      <c r="F9" s="53" t="s">
        <v>14</v>
      </c>
      <c r="G9" s="47">
        <f t="shared" ref="G9:G36" ca="1" si="8">TODAY()-1</f>
        <v>44279</v>
      </c>
      <c r="H9" s="48">
        <f t="shared" ca="1" si="7"/>
        <v>44285</v>
      </c>
      <c r="I9" s="2"/>
      <c r="J9" s="6"/>
      <c r="K9" s="38">
        <v>5</v>
      </c>
      <c r="L9" s="49">
        <v>5</v>
      </c>
      <c r="M9" s="9">
        <f>IF(K9&gt;0,L9/K9,"")</f>
        <v>1</v>
      </c>
      <c r="N9" s="32"/>
      <c r="O9" s="18"/>
      <c r="P9" s="18"/>
      <c r="Q9" s="18"/>
      <c r="R9" s="19"/>
      <c r="S9" s="19"/>
      <c r="T9" s="19"/>
      <c r="U9" s="19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9"/>
      <c r="CZ9" s="43"/>
      <c r="DA9" s="12"/>
      <c r="DB9" s="12"/>
      <c r="DC9" s="12"/>
      <c r="DD9" s="12"/>
      <c r="DE9" s="12"/>
      <c r="DF9" s="12"/>
      <c r="DG9" s="12"/>
      <c r="DH9" s="12"/>
      <c r="DI9" s="12"/>
    </row>
    <row r="10" spans="2:113" ht="18" customHeight="1" x14ac:dyDescent="0.15">
      <c r="B10" s="40">
        <v>6</v>
      </c>
      <c r="C10" s="41"/>
      <c r="D10" s="41"/>
      <c r="E10" s="52" t="s">
        <v>18</v>
      </c>
      <c r="F10" s="53" t="s">
        <v>14</v>
      </c>
      <c r="G10" s="47">
        <f t="shared" ca="1" si="8"/>
        <v>44279</v>
      </c>
      <c r="H10" s="48">
        <f t="shared" ca="1" si="7"/>
        <v>44285</v>
      </c>
      <c r="I10" s="1"/>
      <c r="J10" s="5"/>
      <c r="K10" s="38">
        <v>5</v>
      </c>
      <c r="L10" s="57">
        <v>5</v>
      </c>
      <c r="M10" s="9">
        <f t="shared" si="6"/>
        <v>1</v>
      </c>
      <c r="N10" s="16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7"/>
    </row>
    <row r="11" spans="2:113" ht="18" customHeight="1" x14ac:dyDescent="0.15">
      <c r="B11" s="40">
        <v>7</v>
      </c>
      <c r="C11" s="41"/>
      <c r="D11" s="44"/>
      <c r="E11" s="54" t="s">
        <v>19</v>
      </c>
      <c r="F11" s="53" t="s">
        <v>14</v>
      </c>
      <c r="G11" s="47">
        <f t="shared" ca="1" si="8"/>
        <v>44279</v>
      </c>
      <c r="H11" s="48">
        <f t="shared" ca="1" si="7"/>
        <v>44285</v>
      </c>
      <c r="I11" s="1"/>
      <c r="J11" s="5"/>
      <c r="K11" s="38">
        <v>5</v>
      </c>
      <c r="L11" s="57">
        <v>5</v>
      </c>
      <c r="M11" s="9">
        <f t="shared" si="6"/>
        <v>1</v>
      </c>
      <c r="N11" s="16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36"/>
      <c r="CI11" s="36"/>
      <c r="CJ11" s="36"/>
      <c r="CK11" s="36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7"/>
    </row>
    <row r="12" spans="2:113" ht="18" customHeight="1" x14ac:dyDescent="0.15">
      <c r="B12" s="40">
        <v>8</v>
      </c>
      <c r="C12" s="41"/>
      <c r="D12" s="44"/>
      <c r="E12" s="52" t="s">
        <v>20</v>
      </c>
      <c r="F12" s="53" t="s">
        <v>14</v>
      </c>
      <c r="G12" s="47">
        <f t="shared" ca="1" si="8"/>
        <v>44279</v>
      </c>
      <c r="H12" s="48">
        <f t="shared" ca="1" si="7"/>
        <v>44285</v>
      </c>
      <c r="I12" s="1"/>
      <c r="J12" s="5"/>
      <c r="K12" s="38">
        <v>5</v>
      </c>
      <c r="L12" s="49">
        <v>5</v>
      </c>
      <c r="M12" s="9">
        <f t="shared" si="6"/>
        <v>1</v>
      </c>
      <c r="N12" s="18"/>
      <c r="O12" s="18"/>
      <c r="P12" s="18"/>
      <c r="Q12" s="18"/>
      <c r="R12" s="19"/>
      <c r="S12" s="19"/>
      <c r="T12" s="19"/>
      <c r="U12" s="19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9"/>
      <c r="CZ12" s="43"/>
      <c r="DA12" s="12"/>
      <c r="DB12" s="12"/>
      <c r="DC12" s="12"/>
      <c r="DD12" s="12"/>
      <c r="DE12" s="12"/>
      <c r="DF12" s="12"/>
      <c r="DG12" s="12"/>
      <c r="DH12" s="12"/>
      <c r="DI12" s="12"/>
    </row>
    <row r="13" spans="2:113" ht="18" customHeight="1" x14ac:dyDescent="0.15">
      <c r="B13" s="40">
        <v>9</v>
      </c>
      <c r="C13" s="41"/>
      <c r="D13" s="44"/>
      <c r="E13" s="54" t="s">
        <v>21</v>
      </c>
      <c r="F13" s="53" t="s">
        <v>14</v>
      </c>
      <c r="G13" s="47">
        <f t="shared" ca="1" si="8"/>
        <v>44279</v>
      </c>
      <c r="H13" s="48">
        <f t="shared" ca="1" si="7"/>
        <v>44285</v>
      </c>
      <c r="I13" s="1"/>
      <c r="J13" s="5"/>
      <c r="K13" s="38">
        <v>5</v>
      </c>
      <c r="L13" s="55">
        <v>5</v>
      </c>
      <c r="M13" s="9">
        <f t="shared" si="6"/>
        <v>1</v>
      </c>
      <c r="N13" s="17"/>
      <c r="O13" s="18"/>
      <c r="P13" s="18"/>
      <c r="Q13" s="18"/>
      <c r="R13" s="18"/>
      <c r="S13" s="18"/>
      <c r="T13" s="19"/>
      <c r="U13" s="19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9"/>
      <c r="CZ13" s="43"/>
      <c r="DA13" s="12"/>
      <c r="DB13" s="12"/>
      <c r="DC13" s="12"/>
      <c r="DD13" s="12"/>
      <c r="DE13" s="12"/>
      <c r="DF13" s="12"/>
      <c r="DG13" s="12"/>
      <c r="DH13" s="12"/>
      <c r="DI13" s="12"/>
    </row>
    <row r="14" spans="2:113" ht="18" customHeight="1" x14ac:dyDescent="0.15">
      <c r="B14" s="40">
        <v>10</v>
      </c>
      <c r="C14" s="41"/>
      <c r="D14" s="41"/>
      <c r="E14" s="52" t="s">
        <v>22</v>
      </c>
      <c r="F14" s="53" t="s">
        <v>14</v>
      </c>
      <c r="G14" s="47">
        <f t="shared" ca="1" si="8"/>
        <v>44279</v>
      </c>
      <c r="H14" s="48">
        <f t="shared" ca="1" si="7"/>
        <v>44285</v>
      </c>
      <c r="I14" s="1"/>
      <c r="J14" s="5"/>
      <c r="K14" s="38">
        <v>5</v>
      </c>
      <c r="L14" s="49">
        <v>1</v>
      </c>
      <c r="M14" s="9">
        <f t="shared" si="6"/>
        <v>0.2</v>
      </c>
      <c r="N14" s="24"/>
      <c r="O14" s="18"/>
      <c r="P14" s="18"/>
      <c r="Q14" s="24"/>
      <c r="R14" s="19"/>
      <c r="S14" s="19"/>
      <c r="T14" s="19"/>
      <c r="U14" s="19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9"/>
      <c r="CZ14" s="43"/>
      <c r="DA14" s="12"/>
      <c r="DB14" s="12"/>
      <c r="DC14" s="12"/>
      <c r="DD14" s="12"/>
      <c r="DE14" s="12"/>
      <c r="DF14" s="12"/>
      <c r="DG14" s="12"/>
      <c r="DH14" s="12"/>
      <c r="DI14" s="12"/>
    </row>
    <row r="15" spans="2:113" ht="18" customHeight="1" x14ac:dyDescent="0.15">
      <c r="B15" s="40">
        <v>11</v>
      </c>
      <c r="C15" s="41"/>
      <c r="D15" s="41"/>
      <c r="E15" s="54" t="s">
        <v>23</v>
      </c>
      <c r="F15" s="53" t="s">
        <v>14</v>
      </c>
      <c r="G15" s="47">
        <f t="shared" ca="1" si="8"/>
        <v>44279</v>
      </c>
      <c r="H15" s="48">
        <f t="shared" ca="1" si="7"/>
        <v>44285</v>
      </c>
      <c r="I15" s="1"/>
      <c r="J15" s="5"/>
      <c r="K15" s="38">
        <v>5</v>
      </c>
      <c r="L15" s="49">
        <v>1</v>
      </c>
      <c r="M15" s="9">
        <f t="shared" si="6"/>
        <v>0.2</v>
      </c>
      <c r="N15" s="18"/>
      <c r="O15" s="18"/>
      <c r="P15" s="18"/>
      <c r="Q15" s="18"/>
      <c r="R15" s="19"/>
      <c r="S15" s="19"/>
      <c r="T15" s="19"/>
      <c r="U15" s="19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18"/>
      <c r="BG15" s="18"/>
      <c r="BH15" s="18"/>
      <c r="BI15" s="18"/>
      <c r="BJ15" s="29"/>
      <c r="BK15" s="29"/>
      <c r="BL15" s="29"/>
      <c r="BM15" s="29"/>
      <c r="BN15" s="29"/>
      <c r="BO15" s="18"/>
      <c r="BP15" s="18"/>
      <c r="BQ15" s="31"/>
      <c r="BR15" s="31"/>
      <c r="BS15" s="31"/>
      <c r="BT15" s="31"/>
      <c r="BU15" s="31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9"/>
      <c r="CZ15" s="43"/>
      <c r="DA15" s="12"/>
      <c r="DB15" s="12"/>
      <c r="DC15" s="12"/>
      <c r="DD15" s="12"/>
      <c r="DE15" s="12"/>
      <c r="DF15" s="12"/>
      <c r="DG15" s="12"/>
      <c r="DH15" s="12"/>
      <c r="DI15" s="12"/>
    </row>
    <row r="16" spans="2:113" ht="18" customHeight="1" x14ac:dyDescent="0.15">
      <c r="B16" s="40">
        <v>12</v>
      </c>
      <c r="C16" s="41"/>
      <c r="D16" s="41"/>
      <c r="E16" s="52" t="s">
        <v>24</v>
      </c>
      <c r="F16" s="53" t="s">
        <v>14</v>
      </c>
      <c r="G16" s="47">
        <f t="shared" ca="1" si="8"/>
        <v>44279</v>
      </c>
      <c r="H16" s="48">
        <f t="shared" ca="1" si="7"/>
        <v>44285</v>
      </c>
      <c r="I16" s="1"/>
      <c r="J16" s="5"/>
      <c r="K16" s="38">
        <v>5</v>
      </c>
      <c r="L16" s="55">
        <v>4</v>
      </c>
      <c r="M16" s="9">
        <f t="shared" si="6"/>
        <v>0.8</v>
      </c>
      <c r="N16" s="32"/>
      <c r="O16" s="18"/>
      <c r="P16" s="18"/>
      <c r="Q16" s="18"/>
      <c r="R16" s="19"/>
      <c r="S16" s="19"/>
      <c r="T16" s="19"/>
      <c r="U16" s="19"/>
      <c r="V16" s="20"/>
      <c r="W16" s="20"/>
      <c r="X16" s="20"/>
      <c r="Y16" s="20"/>
      <c r="Z16" s="20"/>
      <c r="AA16" s="21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9"/>
      <c r="CZ16" s="43"/>
      <c r="DA16" s="12"/>
      <c r="DB16" s="12"/>
      <c r="DC16" s="12"/>
      <c r="DD16" s="12"/>
      <c r="DE16" s="12"/>
      <c r="DF16" s="12"/>
      <c r="DG16" s="12"/>
      <c r="DH16" s="12"/>
      <c r="DI16" s="12"/>
    </row>
    <row r="17" spans="2:113" ht="18" customHeight="1" x14ac:dyDescent="0.15">
      <c r="B17" s="40">
        <v>13</v>
      </c>
      <c r="C17" s="41"/>
      <c r="D17" s="44"/>
      <c r="E17" s="54" t="s">
        <v>25</v>
      </c>
      <c r="F17" s="53" t="s">
        <v>14</v>
      </c>
      <c r="G17" s="47">
        <f t="shared" ca="1" si="8"/>
        <v>44279</v>
      </c>
      <c r="H17" s="48">
        <f t="shared" ca="1" si="7"/>
        <v>44285</v>
      </c>
      <c r="I17" s="1"/>
      <c r="J17" s="5"/>
      <c r="K17" s="38">
        <v>5</v>
      </c>
      <c r="L17" s="49">
        <v>4</v>
      </c>
      <c r="M17" s="9">
        <v>0.2</v>
      </c>
      <c r="N17" s="17"/>
      <c r="O17" s="18"/>
      <c r="P17" s="18"/>
      <c r="Q17" s="18"/>
      <c r="R17" s="18"/>
      <c r="S17" s="18"/>
      <c r="T17" s="19"/>
      <c r="U17" s="19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9"/>
      <c r="CZ17" s="43"/>
      <c r="DA17" s="12"/>
      <c r="DB17" s="12"/>
      <c r="DC17" s="12"/>
      <c r="DD17" s="12"/>
      <c r="DE17" s="12"/>
      <c r="DF17" s="12"/>
      <c r="DG17" s="12"/>
      <c r="DH17" s="12"/>
      <c r="DI17" s="12"/>
    </row>
    <row r="18" spans="2:113" ht="18" customHeight="1" x14ac:dyDescent="0.15">
      <c r="B18" s="40">
        <v>14</v>
      </c>
      <c r="C18" s="41"/>
      <c r="D18" s="44"/>
      <c r="E18" s="52" t="s">
        <v>26</v>
      </c>
      <c r="F18" s="53" t="s">
        <v>14</v>
      </c>
      <c r="G18" s="47">
        <f ca="1">TODAY()+15</f>
        <v>44295</v>
      </c>
      <c r="H18" s="48">
        <f ca="1">TODAY()+20</f>
        <v>44300</v>
      </c>
      <c r="I18" s="2"/>
      <c r="J18" s="6"/>
      <c r="K18" s="38">
        <v>5</v>
      </c>
      <c r="L18" s="50">
        <v>1</v>
      </c>
      <c r="M18" s="9">
        <f>IF(K18&gt;0,L18/K18,"")</f>
        <v>0.2</v>
      </c>
      <c r="N18" s="16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36"/>
      <c r="CI18" s="36"/>
      <c r="CJ18" s="36"/>
      <c r="CK18" s="36"/>
      <c r="CL18" s="36"/>
      <c r="CM18" s="36"/>
      <c r="CN18" s="36"/>
      <c r="CO18" s="36"/>
      <c r="CP18" s="36"/>
      <c r="CQ18" s="36"/>
      <c r="CR18" s="36"/>
      <c r="CS18" s="36"/>
      <c r="CT18" s="36"/>
      <c r="CU18" s="36"/>
      <c r="CV18" s="36"/>
      <c r="CW18" s="36"/>
      <c r="CX18" s="36"/>
      <c r="CY18" s="36"/>
      <c r="CZ18" s="37"/>
    </row>
    <row r="19" spans="2:113" ht="18" customHeight="1" x14ac:dyDescent="0.15">
      <c r="B19" s="40">
        <v>15</v>
      </c>
      <c r="C19" s="41"/>
      <c r="D19" s="44"/>
      <c r="E19" s="54" t="s">
        <v>27</v>
      </c>
      <c r="F19" s="53" t="s">
        <v>14</v>
      </c>
      <c r="G19" s="47">
        <f t="shared" ca="1" si="8"/>
        <v>44279</v>
      </c>
      <c r="H19" s="48">
        <f t="shared" ca="1" si="7"/>
        <v>44285</v>
      </c>
      <c r="I19" s="2"/>
      <c r="J19" s="6"/>
      <c r="K19" s="38">
        <v>5</v>
      </c>
      <c r="L19" s="49">
        <v>1</v>
      </c>
      <c r="M19" s="9">
        <f>IF(K19&gt;0,L19/K19,"")</f>
        <v>0.2</v>
      </c>
      <c r="N19" s="18"/>
      <c r="O19" s="18"/>
      <c r="P19" s="18"/>
      <c r="Q19" s="18"/>
      <c r="R19" s="19"/>
      <c r="S19" s="19"/>
      <c r="T19" s="18"/>
      <c r="U19" s="18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9"/>
      <c r="CZ19" s="43"/>
      <c r="DA19" s="12"/>
      <c r="DB19" s="12"/>
      <c r="DC19" s="12"/>
      <c r="DD19" s="12"/>
      <c r="DE19" s="12"/>
      <c r="DF19" s="12"/>
      <c r="DG19" s="12"/>
      <c r="DH19" s="12"/>
      <c r="DI19" s="12"/>
    </row>
    <row r="20" spans="2:113" ht="18" customHeight="1" x14ac:dyDescent="0.15">
      <c r="B20" s="40">
        <v>16</v>
      </c>
      <c r="C20" s="41"/>
      <c r="D20" s="44"/>
      <c r="E20" s="52" t="s">
        <v>28</v>
      </c>
      <c r="F20" s="53" t="s">
        <v>14</v>
      </c>
      <c r="G20" s="47">
        <f ca="1">TODAY()-3</f>
        <v>44277</v>
      </c>
      <c r="H20" s="48">
        <f ca="1">TODAY()+3</f>
        <v>44283</v>
      </c>
      <c r="I20" s="2"/>
      <c r="J20" s="6"/>
      <c r="K20" s="38">
        <v>5</v>
      </c>
      <c r="L20" s="49"/>
      <c r="M20" s="9">
        <f t="shared" ref="M20:M37" si="9">IF(K20&gt;0,L20/K20,"")</f>
        <v>0</v>
      </c>
      <c r="N20" s="17"/>
      <c r="O20" s="18"/>
      <c r="P20" s="18"/>
      <c r="Q20" s="18"/>
      <c r="R20" s="19"/>
      <c r="S20" s="19"/>
      <c r="T20" s="19"/>
      <c r="U20" s="19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9"/>
      <c r="CZ20" s="43"/>
      <c r="DA20" s="12"/>
      <c r="DB20" s="12"/>
      <c r="DC20" s="12"/>
      <c r="DD20" s="12"/>
      <c r="DE20" s="12"/>
      <c r="DF20" s="12"/>
      <c r="DG20" s="12"/>
      <c r="DH20" s="12"/>
      <c r="DI20" s="12"/>
    </row>
    <row r="21" spans="2:113" ht="18" customHeight="1" x14ac:dyDescent="0.15">
      <c r="B21" s="40">
        <v>17</v>
      </c>
      <c r="C21" s="41"/>
      <c r="D21" s="44"/>
      <c r="E21" s="54" t="s">
        <v>29</v>
      </c>
      <c r="F21" s="53" t="s">
        <v>14</v>
      </c>
      <c r="G21" s="47">
        <f ca="1">TODAY()+3</f>
        <v>44283</v>
      </c>
      <c r="H21" s="48">
        <f ca="1">TODAY()+20</f>
        <v>44300</v>
      </c>
      <c r="I21" s="2"/>
      <c r="J21" s="6"/>
      <c r="K21" s="38">
        <v>5</v>
      </c>
      <c r="L21" s="55">
        <v>5</v>
      </c>
      <c r="M21" s="9">
        <f t="shared" si="9"/>
        <v>1</v>
      </c>
      <c r="N21" s="17"/>
      <c r="O21" s="18"/>
      <c r="P21" s="18"/>
      <c r="Q21" s="18"/>
      <c r="R21" s="18"/>
      <c r="S21" s="18"/>
      <c r="T21" s="19"/>
      <c r="U21" s="19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9"/>
      <c r="CZ21" s="43"/>
      <c r="DA21" s="12"/>
      <c r="DB21" s="12"/>
      <c r="DC21" s="12"/>
      <c r="DD21" s="12"/>
      <c r="DE21" s="12"/>
      <c r="DF21" s="12"/>
      <c r="DG21" s="12"/>
      <c r="DH21" s="12"/>
      <c r="DI21" s="12"/>
    </row>
    <row r="22" spans="2:113" ht="18" customHeight="1" x14ac:dyDescent="0.15">
      <c r="B22" s="40">
        <v>18</v>
      </c>
      <c r="C22" s="41"/>
      <c r="D22" s="44"/>
      <c r="E22" s="52" t="s">
        <v>30</v>
      </c>
      <c r="F22" s="53" t="s">
        <v>14</v>
      </c>
      <c r="G22" s="47">
        <f t="shared" ca="1" si="8"/>
        <v>44279</v>
      </c>
      <c r="H22" s="48">
        <f t="shared" ca="1" si="7"/>
        <v>44285</v>
      </c>
      <c r="I22" s="1"/>
      <c r="J22" s="5"/>
      <c r="K22" s="38">
        <v>5</v>
      </c>
      <c r="L22" s="49">
        <v>5</v>
      </c>
      <c r="M22" s="9">
        <f t="shared" si="9"/>
        <v>1</v>
      </c>
      <c r="N22" s="17"/>
      <c r="O22" s="18"/>
      <c r="P22" s="18"/>
      <c r="Q22" s="18"/>
      <c r="R22" s="18"/>
      <c r="S22" s="18"/>
      <c r="T22" s="19"/>
      <c r="U22" s="19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9"/>
      <c r="CZ22" s="43"/>
      <c r="DA22" s="12"/>
      <c r="DB22" s="12"/>
      <c r="DC22" s="12"/>
      <c r="DD22" s="12"/>
      <c r="DE22" s="12"/>
      <c r="DF22" s="12"/>
      <c r="DG22" s="12"/>
      <c r="DH22" s="12"/>
      <c r="DI22" s="12"/>
    </row>
    <row r="23" spans="2:113" ht="18" customHeight="1" x14ac:dyDescent="0.15">
      <c r="B23" s="40">
        <v>19</v>
      </c>
      <c r="C23" s="41"/>
      <c r="D23" s="44"/>
      <c r="E23" s="54" t="s">
        <v>31</v>
      </c>
      <c r="F23" s="53" t="s">
        <v>14</v>
      </c>
      <c r="G23" s="47">
        <f t="shared" ca="1" si="8"/>
        <v>44279</v>
      </c>
      <c r="H23" s="48">
        <f ca="1">TODAY()+13</f>
        <v>44293</v>
      </c>
      <c r="I23" s="2"/>
      <c r="J23" s="6"/>
      <c r="K23" s="38">
        <v>5</v>
      </c>
      <c r="L23" s="49">
        <v>5</v>
      </c>
      <c r="M23" s="9">
        <f t="shared" si="9"/>
        <v>1</v>
      </c>
      <c r="N23" s="18"/>
      <c r="O23" s="18"/>
      <c r="P23" s="18"/>
      <c r="Q23" s="18"/>
      <c r="R23" s="19"/>
      <c r="S23" s="19"/>
      <c r="T23" s="18"/>
      <c r="U23" s="18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9"/>
      <c r="CZ23" s="43"/>
      <c r="DA23" s="12"/>
      <c r="DB23" s="12"/>
      <c r="DC23" s="12"/>
      <c r="DD23" s="12"/>
      <c r="DE23" s="12"/>
      <c r="DF23" s="12"/>
      <c r="DG23" s="12"/>
      <c r="DH23" s="12"/>
      <c r="DI23" s="12"/>
    </row>
    <row r="24" spans="2:113" ht="18" customHeight="1" x14ac:dyDescent="0.15">
      <c r="B24" s="40">
        <v>20</v>
      </c>
      <c r="C24" s="41"/>
      <c r="D24" s="41"/>
      <c r="E24" s="52" t="s">
        <v>32</v>
      </c>
      <c r="F24" s="53" t="s">
        <v>14</v>
      </c>
      <c r="G24" s="47">
        <f t="shared" ca="1" si="8"/>
        <v>44279</v>
      </c>
      <c r="H24" s="48">
        <f t="shared" ca="1" si="7"/>
        <v>44285</v>
      </c>
      <c r="I24" s="1"/>
      <c r="J24" s="5"/>
      <c r="K24" s="38">
        <v>5</v>
      </c>
      <c r="L24" s="49">
        <v>1</v>
      </c>
      <c r="M24" s="9">
        <f>IF(K24&gt;0,L24/K24,"")</f>
        <v>0.2</v>
      </c>
      <c r="N24" s="18"/>
      <c r="O24" s="18"/>
      <c r="P24" s="18"/>
      <c r="Q24" s="18"/>
      <c r="R24" s="19"/>
      <c r="S24" s="19"/>
      <c r="T24" s="18"/>
      <c r="U24" s="18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9"/>
      <c r="CZ24" s="43"/>
      <c r="DA24" s="12"/>
      <c r="DB24" s="12"/>
      <c r="DC24" s="12"/>
      <c r="DD24" s="12"/>
      <c r="DE24" s="12"/>
      <c r="DF24" s="12"/>
      <c r="DG24" s="12"/>
      <c r="DH24" s="12"/>
      <c r="DI24" s="12"/>
    </row>
    <row r="25" spans="2:113" ht="18" customHeight="1" x14ac:dyDescent="0.15">
      <c r="B25" s="40">
        <v>21</v>
      </c>
      <c r="C25" s="41"/>
      <c r="D25" s="44"/>
      <c r="E25" s="54" t="s">
        <v>33</v>
      </c>
      <c r="F25" s="53" t="s">
        <v>14</v>
      </c>
      <c r="G25" s="47">
        <f ca="1">TODAY()+5</f>
        <v>44285</v>
      </c>
      <c r="H25" s="48">
        <f ca="1">TODAY()+10</f>
        <v>44290</v>
      </c>
      <c r="I25" s="1"/>
      <c r="J25" s="5"/>
      <c r="K25" s="38">
        <v>5</v>
      </c>
      <c r="L25" s="49">
        <v>1</v>
      </c>
      <c r="M25" s="9">
        <f t="shared" si="9"/>
        <v>0.2</v>
      </c>
      <c r="N25" s="18"/>
      <c r="O25" s="18"/>
      <c r="P25" s="18"/>
      <c r="Q25" s="18"/>
      <c r="R25" s="19"/>
      <c r="S25" s="19"/>
      <c r="T25" s="18"/>
      <c r="U25" s="18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  <c r="CY25" s="19"/>
      <c r="CZ25" s="43"/>
      <c r="DA25" s="12"/>
      <c r="DB25" s="12"/>
      <c r="DC25" s="12"/>
      <c r="DD25" s="12"/>
      <c r="DE25" s="12"/>
      <c r="DF25" s="12"/>
      <c r="DG25" s="12"/>
      <c r="DH25" s="12"/>
      <c r="DI25" s="12"/>
    </row>
    <row r="26" spans="2:113" ht="18" customHeight="1" x14ac:dyDescent="0.15">
      <c r="B26" s="40">
        <v>22</v>
      </c>
      <c r="C26" s="41"/>
      <c r="D26" s="44"/>
      <c r="E26" s="52" t="s">
        <v>34</v>
      </c>
      <c r="F26" s="53" t="s">
        <v>14</v>
      </c>
      <c r="G26" s="47">
        <f ca="1">TODAY()</f>
        <v>44280</v>
      </c>
      <c r="H26" s="48">
        <f t="shared" ca="1" si="7"/>
        <v>44285</v>
      </c>
      <c r="I26" s="1"/>
      <c r="J26" s="5"/>
      <c r="K26" s="38">
        <v>5</v>
      </c>
      <c r="L26" s="49">
        <v>5</v>
      </c>
      <c r="M26" s="9">
        <f t="shared" si="9"/>
        <v>1</v>
      </c>
      <c r="N26" s="18"/>
      <c r="O26" s="18"/>
      <c r="P26" s="18"/>
      <c r="Q26" s="18"/>
      <c r="R26" s="19"/>
      <c r="S26" s="19"/>
      <c r="T26" s="18"/>
      <c r="U26" s="18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9"/>
      <c r="CZ26" s="43"/>
      <c r="DA26" s="12"/>
      <c r="DB26" s="12"/>
      <c r="DC26" s="12"/>
      <c r="DD26" s="12"/>
      <c r="DE26" s="12"/>
      <c r="DF26" s="12"/>
      <c r="DG26" s="12"/>
      <c r="DH26" s="12"/>
      <c r="DI26" s="12"/>
    </row>
    <row r="27" spans="2:113" ht="18" customHeight="1" x14ac:dyDescent="0.15">
      <c r="B27" s="40">
        <v>23</v>
      </c>
      <c r="C27" s="41"/>
      <c r="D27" s="44"/>
      <c r="E27" s="54" t="s">
        <v>35</v>
      </c>
      <c r="F27" s="53" t="s">
        <v>14</v>
      </c>
      <c r="G27" s="47">
        <f t="shared" ref="G27:G28" ca="1" si="10">TODAY()</f>
        <v>44280</v>
      </c>
      <c r="H27" s="48">
        <f t="shared" ca="1" si="7"/>
        <v>44285</v>
      </c>
      <c r="I27" s="2"/>
      <c r="J27" s="6"/>
      <c r="K27" s="38">
        <v>5</v>
      </c>
      <c r="L27" s="49">
        <v>5</v>
      </c>
      <c r="M27" s="9">
        <f t="shared" si="9"/>
        <v>1</v>
      </c>
      <c r="N27" s="18"/>
      <c r="O27" s="18"/>
      <c r="P27" s="18"/>
      <c r="Q27" s="18"/>
      <c r="R27" s="19"/>
      <c r="S27" s="19"/>
      <c r="T27" s="19"/>
      <c r="U27" s="19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29"/>
      <c r="BY27" s="29"/>
      <c r="BZ27" s="29"/>
      <c r="CA27" s="29"/>
      <c r="CB27" s="29"/>
      <c r="CC27" s="18"/>
      <c r="CD27" s="18"/>
      <c r="CE27" s="29"/>
      <c r="CF27" s="29"/>
      <c r="CG27" s="29"/>
      <c r="CH27" s="29"/>
      <c r="CI27" s="29"/>
      <c r="CJ27" s="18"/>
      <c r="CK27" s="18"/>
      <c r="CL27" s="29"/>
      <c r="CM27" s="29"/>
      <c r="CN27" s="29"/>
      <c r="CO27" s="29"/>
      <c r="CP27" s="29"/>
      <c r="CQ27" s="18"/>
      <c r="CR27" s="18"/>
      <c r="CS27" s="31"/>
      <c r="CT27" s="31"/>
      <c r="CU27" s="31"/>
      <c r="CV27" s="31"/>
      <c r="CW27" s="31"/>
      <c r="CX27" s="18"/>
      <c r="CY27" s="19"/>
      <c r="CZ27" s="43"/>
      <c r="DA27" s="12"/>
      <c r="DB27" s="12"/>
      <c r="DC27" s="12"/>
      <c r="DD27" s="12"/>
      <c r="DE27" s="12"/>
      <c r="DF27" s="12"/>
      <c r="DG27" s="12"/>
      <c r="DH27" s="12"/>
      <c r="DI27" s="12"/>
    </row>
    <row r="28" spans="2:113" ht="18" customHeight="1" x14ac:dyDescent="0.15">
      <c r="B28" s="40">
        <v>24</v>
      </c>
      <c r="C28" s="41"/>
      <c r="D28" s="44"/>
      <c r="E28" s="52" t="s">
        <v>36</v>
      </c>
      <c r="F28" s="53" t="s">
        <v>14</v>
      </c>
      <c r="G28" s="47">
        <f t="shared" ca="1" si="10"/>
        <v>44280</v>
      </c>
      <c r="H28" s="48">
        <f t="shared" ca="1" si="7"/>
        <v>44285</v>
      </c>
      <c r="I28" s="1"/>
      <c r="J28" s="5"/>
      <c r="K28" s="38">
        <v>5</v>
      </c>
      <c r="L28" s="55"/>
      <c r="M28" s="9">
        <f t="shared" si="9"/>
        <v>0</v>
      </c>
      <c r="N28" s="18"/>
      <c r="O28" s="18"/>
      <c r="P28" s="18"/>
      <c r="Q28" s="18"/>
      <c r="R28" s="19"/>
      <c r="S28" s="19"/>
      <c r="T28" s="19"/>
      <c r="U28" s="19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9"/>
      <c r="BG28" s="29"/>
      <c r="BH28" s="18"/>
      <c r="BI28" s="18"/>
      <c r="BJ28" s="29"/>
      <c r="BK28" s="29"/>
      <c r="BL28" s="29"/>
      <c r="BM28" s="29"/>
      <c r="BN28" s="29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9"/>
      <c r="CZ28" s="43"/>
      <c r="DA28" s="12"/>
      <c r="DB28" s="12"/>
      <c r="DC28" s="12"/>
      <c r="DD28" s="12"/>
      <c r="DE28" s="12"/>
      <c r="DF28" s="12"/>
      <c r="DG28" s="12"/>
      <c r="DH28" s="12"/>
      <c r="DI28" s="12"/>
    </row>
    <row r="29" spans="2:113" ht="18" customHeight="1" x14ac:dyDescent="0.15">
      <c r="B29" s="40">
        <v>25</v>
      </c>
      <c r="C29" s="41"/>
      <c r="D29" s="44"/>
      <c r="E29" s="54" t="s">
        <v>37</v>
      </c>
      <c r="F29" s="53" t="s">
        <v>14</v>
      </c>
      <c r="G29" s="47">
        <f t="shared" ca="1" si="8"/>
        <v>44279</v>
      </c>
      <c r="H29" s="48">
        <f t="shared" ca="1" si="7"/>
        <v>44285</v>
      </c>
      <c r="I29" s="1"/>
      <c r="J29" s="5"/>
      <c r="K29" s="38">
        <v>5</v>
      </c>
      <c r="L29" s="49">
        <v>5</v>
      </c>
      <c r="M29" s="9">
        <f t="shared" si="9"/>
        <v>1</v>
      </c>
      <c r="N29" s="18"/>
      <c r="O29" s="18"/>
      <c r="P29" s="18"/>
      <c r="Q29" s="18"/>
      <c r="R29" s="19"/>
      <c r="S29" s="19"/>
      <c r="T29" s="25"/>
      <c r="U29" s="25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6"/>
      <c r="BG29" s="26"/>
      <c r="BH29" s="18"/>
      <c r="BI29" s="18"/>
      <c r="BJ29" s="26"/>
      <c r="BK29" s="26"/>
      <c r="BL29" s="26"/>
      <c r="BM29" s="26"/>
      <c r="BN29" s="26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9"/>
      <c r="CZ29" s="43"/>
      <c r="DA29" s="12"/>
      <c r="DB29" s="12"/>
      <c r="DC29" s="12"/>
      <c r="DD29" s="12"/>
      <c r="DE29" s="12"/>
      <c r="DF29" s="12"/>
      <c r="DG29" s="12"/>
      <c r="DH29" s="12"/>
      <c r="DI29" s="12"/>
    </row>
    <row r="30" spans="2:113" ht="18" customHeight="1" x14ac:dyDescent="0.15">
      <c r="B30" s="40">
        <v>26</v>
      </c>
      <c r="C30" s="41"/>
      <c r="D30" s="41"/>
      <c r="E30" s="52" t="s">
        <v>38</v>
      </c>
      <c r="F30" s="53" t="s">
        <v>14</v>
      </c>
      <c r="G30" s="47">
        <f ca="1">TODAY()+30</f>
        <v>44310</v>
      </c>
      <c r="H30" s="48">
        <f ca="1">TODAY()+35</f>
        <v>44315</v>
      </c>
      <c r="I30" s="2"/>
      <c r="J30" s="6"/>
      <c r="K30" s="38">
        <v>5</v>
      </c>
      <c r="L30" s="55"/>
      <c r="M30" s="9">
        <f t="shared" si="9"/>
        <v>0</v>
      </c>
      <c r="N30" s="17"/>
      <c r="O30" s="18"/>
      <c r="P30" s="18"/>
      <c r="Q30" s="18"/>
      <c r="R30" s="18"/>
      <c r="S30" s="18"/>
      <c r="T30" s="19"/>
      <c r="U30" s="19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9"/>
      <c r="CZ30" s="43"/>
      <c r="DA30" s="12"/>
      <c r="DB30" s="12"/>
      <c r="DC30" s="12"/>
      <c r="DD30" s="12"/>
      <c r="DE30" s="12"/>
      <c r="DF30" s="12"/>
      <c r="DG30" s="12"/>
      <c r="DH30" s="12"/>
      <c r="DI30" s="12"/>
    </row>
    <row r="31" spans="2:113" ht="18" customHeight="1" x14ac:dyDescent="0.15">
      <c r="B31" s="40">
        <v>27</v>
      </c>
      <c r="C31" s="41"/>
      <c r="D31" s="44"/>
      <c r="E31" s="54" t="s">
        <v>39</v>
      </c>
      <c r="F31" s="53" t="s">
        <v>14</v>
      </c>
      <c r="G31" s="47">
        <f ca="1">TODAY()-1</f>
        <v>44279</v>
      </c>
      <c r="H31" s="48">
        <f ca="1">TODAY()+5</f>
        <v>44285</v>
      </c>
      <c r="I31" s="63"/>
      <c r="J31" s="4"/>
      <c r="K31" s="38">
        <v>5</v>
      </c>
      <c r="L31" s="56"/>
      <c r="M31" s="9">
        <f t="shared" si="9"/>
        <v>0</v>
      </c>
      <c r="N31" s="18"/>
      <c r="O31" s="18"/>
      <c r="P31" s="18"/>
      <c r="Q31" s="18"/>
      <c r="R31" s="19"/>
      <c r="S31" s="19"/>
      <c r="T31" s="25"/>
      <c r="U31" s="25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9"/>
      <c r="CZ31" s="43"/>
      <c r="DA31" s="12"/>
      <c r="DB31" s="12"/>
      <c r="DC31" s="12"/>
      <c r="DD31" s="12"/>
      <c r="DE31" s="12"/>
      <c r="DF31" s="12"/>
      <c r="DG31" s="12"/>
      <c r="DH31" s="12"/>
      <c r="DI31" s="12"/>
    </row>
    <row r="32" spans="2:113" ht="18" customHeight="1" x14ac:dyDescent="0.15">
      <c r="B32" s="40">
        <v>28</v>
      </c>
      <c r="C32" s="41"/>
      <c r="D32" s="44"/>
      <c r="E32" s="52" t="s">
        <v>40</v>
      </c>
      <c r="F32" s="53"/>
      <c r="G32" s="47">
        <f ca="1">TODAY()-13</f>
        <v>44267</v>
      </c>
      <c r="H32" s="48">
        <f ca="1">TODAY()+18</f>
        <v>44298</v>
      </c>
      <c r="I32" s="63"/>
      <c r="J32" s="4"/>
      <c r="K32" s="38">
        <v>20</v>
      </c>
      <c r="L32" s="56">
        <v>15</v>
      </c>
      <c r="M32" s="9">
        <f t="shared" si="9"/>
        <v>0.75</v>
      </c>
      <c r="N32" s="24"/>
      <c r="O32" s="18"/>
      <c r="P32" s="18"/>
      <c r="Q32" s="24"/>
      <c r="R32" s="19"/>
      <c r="S32" s="19"/>
      <c r="T32" s="19"/>
      <c r="U32" s="19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1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9"/>
      <c r="CZ32" s="43"/>
      <c r="DA32" s="12"/>
      <c r="DB32" s="12"/>
      <c r="DC32" s="12"/>
      <c r="DD32" s="12"/>
      <c r="DE32" s="12"/>
      <c r="DF32" s="12"/>
      <c r="DG32" s="12"/>
      <c r="DH32" s="12"/>
      <c r="DI32" s="12"/>
    </row>
    <row r="33" spans="2:113" ht="18" customHeight="1" x14ac:dyDescent="0.15">
      <c r="B33" s="40">
        <v>29</v>
      </c>
      <c r="C33" s="41"/>
      <c r="D33" s="41"/>
      <c r="E33" s="54" t="s">
        <v>41</v>
      </c>
      <c r="F33" s="53" t="s">
        <v>14</v>
      </c>
      <c r="G33" s="47">
        <f t="shared" ca="1" si="8"/>
        <v>44279</v>
      </c>
      <c r="H33" s="48">
        <f t="shared" ca="1" si="7"/>
        <v>44285</v>
      </c>
      <c r="I33" s="2"/>
      <c r="J33" s="6"/>
      <c r="K33" s="38">
        <v>5</v>
      </c>
      <c r="L33" s="55">
        <v>3</v>
      </c>
      <c r="M33" s="9">
        <f t="shared" si="9"/>
        <v>0.6</v>
      </c>
      <c r="N33" s="18"/>
      <c r="O33" s="18"/>
      <c r="P33" s="18"/>
      <c r="Q33" s="18"/>
      <c r="R33" s="19"/>
      <c r="S33" s="19"/>
      <c r="T33" s="19"/>
      <c r="U33" s="19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9"/>
      <c r="CZ33" s="43"/>
      <c r="DA33" s="12"/>
      <c r="DB33" s="12"/>
      <c r="DC33" s="12"/>
      <c r="DD33" s="12"/>
      <c r="DE33" s="12"/>
      <c r="DF33" s="12"/>
      <c r="DG33" s="12"/>
      <c r="DH33" s="12"/>
      <c r="DI33" s="12"/>
    </row>
    <row r="34" spans="2:113" ht="18" customHeight="1" x14ac:dyDescent="0.15">
      <c r="B34" s="40">
        <v>30</v>
      </c>
      <c r="C34" s="41"/>
      <c r="D34" s="41"/>
      <c r="E34" s="52" t="s">
        <v>42</v>
      </c>
      <c r="F34" s="53" t="s">
        <v>14</v>
      </c>
      <c r="G34" s="47">
        <f t="shared" ca="1" si="8"/>
        <v>44279</v>
      </c>
      <c r="H34" s="48">
        <f t="shared" ca="1" si="7"/>
        <v>44285</v>
      </c>
      <c r="I34" s="2"/>
      <c r="J34" s="6"/>
      <c r="K34" s="38">
        <v>5</v>
      </c>
      <c r="L34" s="49">
        <v>1</v>
      </c>
      <c r="M34" s="9">
        <f t="shared" si="9"/>
        <v>0.2</v>
      </c>
      <c r="N34" s="32"/>
      <c r="O34" s="18"/>
      <c r="P34" s="18"/>
      <c r="Q34" s="18"/>
      <c r="R34" s="19"/>
      <c r="S34" s="19"/>
      <c r="T34" s="19"/>
      <c r="U34" s="19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9"/>
      <c r="CZ34" s="43"/>
      <c r="DA34" s="12"/>
      <c r="DB34" s="12"/>
      <c r="DC34" s="12"/>
      <c r="DD34" s="12"/>
      <c r="DE34" s="12"/>
      <c r="DF34" s="12"/>
      <c r="DG34" s="12"/>
      <c r="DH34" s="12"/>
      <c r="DI34" s="12"/>
    </row>
    <row r="35" spans="2:113" ht="18" customHeight="1" x14ac:dyDescent="0.15">
      <c r="B35" s="40">
        <v>31</v>
      </c>
      <c r="C35" s="41"/>
      <c r="D35" s="41"/>
      <c r="E35" s="54" t="s">
        <v>43</v>
      </c>
      <c r="F35" s="53" t="s">
        <v>14</v>
      </c>
      <c r="G35" s="47">
        <f t="shared" ca="1" si="8"/>
        <v>44279</v>
      </c>
      <c r="H35" s="48">
        <f t="shared" ca="1" si="7"/>
        <v>44285</v>
      </c>
      <c r="I35" s="2"/>
      <c r="J35" s="6"/>
      <c r="K35" s="38">
        <v>5</v>
      </c>
      <c r="L35" s="55"/>
      <c r="M35" s="9">
        <f t="shared" si="9"/>
        <v>0</v>
      </c>
      <c r="N35" s="18"/>
      <c r="O35" s="18"/>
      <c r="P35" s="18"/>
      <c r="Q35" s="18"/>
      <c r="R35" s="19"/>
      <c r="S35" s="19"/>
      <c r="T35" s="30"/>
      <c r="U35" s="30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9"/>
      <c r="CZ35" s="43"/>
      <c r="DA35" s="12"/>
      <c r="DB35" s="12"/>
      <c r="DC35" s="12"/>
      <c r="DD35" s="12"/>
      <c r="DE35" s="12"/>
      <c r="DF35" s="12"/>
      <c r="DG35" s="12"/>
      <c r="DH35" s="12"/>
      <c r="DI35" s="12"/>
    </row>
    <row r="36" spans="2:113" ht="18" customHeight="1" x14ac:dyDescent="0.15">
      <c r="B36" s="40">
        <v>32</v>
      </c>
      <c r="C36" s="41"/>
      <c r="D36" s="44"/>
      <c r="E36" s="52" t="s">
        <v>44</v>
      </c>
      <c r="F36" s="53" t="s">
        <v>14</v>
      </c>
      <c r="G36" s="47">
        <f t="shared" ca="1" si="8"/>
        <v>44279</v>
      </c>
      <c r="H36" s="48">
        <f t="shared" ca="1" si="7"/>
        <v>44285</v>
      </c>
      <c r="I36" s="2"/>
      <c r="J36" s="6"/>
      <c r="K36" s="38">
        <v>5</v>
      </c>
      <c r="L36" s="49">
        <v>2</v>
      </c>
      <c r="M36" s="9">
        <f t="shared" si="9"/>
        <v>0.4</v>
      </c>
      <c r="N36" s="17"/>
      <c r="O36" s="18"/>
      <c r="P36" s="18"/>
      <c r="Q36" s="18"/>
      <c r="R36" s="19"/>
      <c r="S36" s="19"/>
      <c r="T36" s="19"/>
      <c r="U36" s="19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9"/>
      <c r="CZ36" s="43"/>
      <c r="DA36" s="12"/>
      <c r="DB36" s="12"/>
      <c r="DC36" s="12"/>
      <c r="DD36" s="12"/>
      <c r="DE36" s="12"/>
      <c r="DF36" s="12"/>
      <c r="DG36" s="12"/>
      <c r="DH36" s="12"/>
      <c r="DI36" s="12"/>
    </row>
    <row r="37" spans="2:113" ht="18" customHeight="1" x14ac:dyDescent="0.15">
      <c r="B37" s="40">
        <v>33</v>
      </c>
      <c r="C37" s="41"/>
      <c r="D37" s="44"/>
      <c r="E37" s="54" t="s">
        <v>45</v>
      </c>
      <c r="F37" s="53" t="s">
        <v>14</v>
      </c>
      <c r="G37" s="47">
        <f ca="1">TODAY()-28</f>
        <v>44252</v>
      </c>
      <c r="H37" s="48">
        <f ca="1">TODAY()</f>
        <v>44280</v>
      </c>
      <c r="I37" s="2"/>
      <c r="J37" s="6"/>
      <c r="K37" s="38">
        <v>10</v>
      </c>
      <c r="L37" s="55">
        <v>1.08</v>
      </c>
      <c r="M37" s="9">
        <f t="shared" si="9"/>
        <v>0.10800000000000001</v>
      </c>
      <c r="N37" s="22"/>
      <c r="O37" s="22"/>
      <c r="P37" s="22"/>
      <c r="Q37" s="22"/>
      <c r="R37" s="19"/>
      <c r="S37" s="19"/>
      <c r="T37" s="19"/>
      <c r="U37" s="19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9"/>
      <c r="CZ37" s="43"/>
      <c r="DA37" s="12"/>
      <c r="DB37" s="12"/>
      <c r="DC37" s="12"/>
      <c r="DD37" s="12"/>
      <c r="DE37" s="12"/>
      <c r="DF37" s="12"/>
      <c r="DG37" s="12"/>
      <c r="DH37" s="12"/>
      <c r="DI37" s="12"/>
    </row>
    <row r="38" spans="2:113" ht="18" customHeight="1" x14ac:dyDescent="0.15">
      <c r="B38" s="40">
        <v>34</v>
      </c>
      <c r="C38" s="41"/>
      <c r="D38" s="44"/>
      <c r="E38" s="52" t="s">
        <v>46</v>
      </c>
      <c r="F38" s="53" t="s">
        <v>14</v>
      </c>
      <c r="G38" s="47">
        <f ca="1">TODAY()</f>
        <v>44280</v>
      </c>
      <c r="H38" s="48">
        <f ca="1">TODAY()+40</f>
        <v>44320</v>
      </c>
      <c r="I38" s="2"/>
      <c r="J38" s="6"/>
      <c r="K38" s="38">
        <v>10</v>
      </c>
      <c r="L38" s="55">
        <v>9.9</v>
      </c>
      <c r="M38" s="9">
        <v>1</v>
      </c>
      <c r="N38" s="22"/>
      <c r="O38" s="22"/>
      <c r="P38" s="22"/>
      <c r="Q38" s="22"/>
      <c r="R38" s="19"/>
      <c r="S38" s="19"/>
      <c r="T38" s="23"/>
      <c r="U38" s="23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9"/>
      <c r="CZ38" s="43"/>
      <c r="DA38" s="12"/>
      <c r="DB38" s="12"/>
      <c r="DC38" s="12"/>
      <c r="DD38" s="12"/>
      <c r="DE38" s="12"/>
      <c r="DF38" s="12"/>
      <c r="DG38" s="12"/>
      <c r="DH38" s="12"/>
      <c r="DI38" s="12"/>
    </row>
    <row r="39" spans="2:113" ht="18" customHeight="1" x14ac:dyDescent="0.15">
      <c r="B39" s="40">
        <v>35</v>
      </c>
      <c r="C39" s="41"/>
      <c r="D39" s="44"/>
      <c r="E39" s="54" t="s">
        <v>47</v>
      </c>
      <c r="F39" s="53"/>
      <c r="G39" s="47">
        <f ca="1">TODAY()</f>
        <v>44280</v>
      </c>
      <c r="H39" s="48">
        <f ca="1">TODAY()+5</f>
        <v>44285</v>
      </c>
      <c r="I39" s="1"/>
      <c r="J39" s="5"/>
      <c r="K39" s="38">
        <v>5</v>
      </c>
      <c r="L39" s="49">
        <v>5</v>
      </c>
      <c r="M39" s="9">
        <f>IF(K39&gt;0,L39/K39,"")</f>
        <v>1</v>
      </c>
      <c r="N39" s="17"/>
      <c r="O39" s="18"/>
      <c r="P39" s="18"/>
      <c r="Q39" s="18"/>
      <c r="R39" s="18"/>
      <c r="S39" s="18"/>
      <c r="T39" s="19"/>
      <c r="U39" s="19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9"/>
      <c r="CZ39" s="43"/>
      <c r="DA39" s="12"/>
      <c r="DB39" s="12"/>
      <c r="DC39" s="12"/>
      <c r="DD39" s="12"/>
      <c r="DE39" s="12"/>
      <c r="DF39" s="12"/>
      <c r="DG39" s="12"/>
      <c r="DH39" s="12"/>
      <c r="DI39" s="12"/>
    </row>
    <row r="40" spans="2:113" ht="18" customHeight="1" x14ac:dyDescent="0.15">
      <c r="B40" s="40">
        <v>36</v>
      </c>
      <c r="C40" s="41"/>
      <c r="D40" s="44"/>
      <c r="E40" s="52" t="s">
        <v>48</v>
      </c>
      <c r="F40" s="53"/>
      <c r="G40" s="47">
        <f ca="1">TODAY()+6</f>
        <v>44286</v>
      </c>
      <c r="H40" s="48">
        <f ca="1">TODAY()+11</f>
        <v>44291</v>
      </c>
      <c r="I40" s="1"/>
      <c r="J40" s="5"/>
      <c r="K40" s="38">
        <v>5</v>
      </c>
      <c r="L40" s="49">
        <v>3</v>
      </c>
      <c r="M40" s="9">
        <f t="shared" ref="M40" si="11">IF(K40&gt;0,L40/K40,"")</f>
        <v>0.6</v>
      </c>
      <c r="N40" s="18"/>
      <c r="O40" s="18"/>
      <c r="P40" s="18"/>
      <c r="Q40" s="18"/>
      <c r="R40" s="19"/>
      <c r="S40" s="19"/>
      <c r="T40" s="19"/>
      <c r="U40" s="19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9"/>
      <c r="BG40" s="29"/>
      <c r="BH40" s="18"/>
      <c r="BI40" s="18"/>
      <c r="BJ40" s="29"/>
      <c r="BK40" s="29"/>
      <c r="BL40" s="29"/>
      <c r="BM40" s="29"/>
      <c r="BN40" s="29"/>
      <c r="BO40" s="18"/>
      <c r="BP40" s="18"/>
      <c r="BQ40" s="31"/>
      <c r="BR40" s="31"/>
      <c r="BS40" s="31"/>
      <c r="BT40" s="31"/>
      <c r="BU40" s="31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9"/>
      <c r="CZ40" s="43"/>
      <c r="DA40" s="12"/>
      <c r="DB40" s="12"/>
      <c r="DC40" s="12"/>
      <c r="DD40" s="12"/>
      <c r="DE40" s="12"/>
      <c r="DF40" s="12"/>
      <c r="DG40" s="12"/>
      <c r="DH40" s="12"/>
      <c r="DI40" s="12"/>
    </row>
    <row r="41" spans="2:113" ht="18" customHeight="1" x14ac:dyDescent="0.15">
      <c r="B41" s="40">
        <v>37</v>
      </c>
      <c r="C41" s="41"/>
      <c r="D41" s="44"/>
      <c r="E41" s="54" t="s">
        <v>49</v>
      </c>
      <c r="F41" s="53"/>
      <c r="G41" s="47">
        <f ca="1">TODAY()+12</f>
        <v>44292</v>
      </c>
      <c r="H41" s="48">
        <f ca="1">TODAY()+16</f>
        <v>44296</v>
      </c>
      <c r="I41" s="1"/>
      <c r="J41" s="5"/>
      <c r="K41" s="38">
        <v>5</v>
      </c>
      <c r="L41" s="49">
        <v>1</v>
      </c>
      <c r="M41" s="9">
        <f>IF(K41&gt;0,L41/K41,"")</f>
        <v>0.2</v>
      </c>
      <c r="N41" s="18"/>
      <c r="O41" s="24"/>
      <c r="P41" s="24"/>
      <c r="Q41" s="24"/>
      <c r="R41" s="19"/>
      <c r="S41" s="19"/>
      <c r="T41" s="19"/>
      <c r="U41" s="19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/>
      <c r="CO41" s="18"/>
      <c r="CP41" s="18"/>
      <c r="CQ41" s="18"/>
      <c r="CR41" s="18"/>
      <c r="CS41" s="18"/>
      <c r="CT41" s="18"/>
      <c r="CU41" s="18"/>
      <c r="CV41" s="18"/>
      <c r="CW41" s="18"/>
      <c r="CX41" s="18"/>
      <c r="CY41" s="19"/>
      <c r="CZ41" s="43"/>
      <c r="DA41" s="12"/>
      <c r="DB41" s="12"/>
      <c r="DC41" s="12"/>
      <c r="DD41" s="12"/>
      <c r="DE41" s="12"/>
      <c r="DF41" s="12"/>
      <c r="DG41" s="12"/>
      <c r="DH41" s="12"/>
      <c r="DI41" s="12"/>
    </row>
    <row r="42" spans="2:113" ht="18" customHeight="1" x14ac:dyDescent="0.15">
      <c r="B42" s="40">
        <v>38</v>
      </c>
      <c r="C42" s="41"/>
      <c r="D42" s="44"/>
      <c r="E42" s="52" t="s">
        <v>50</v>
      </c>
      <c r="F42" s="53"/>
      <c r="G42" s="47">
        <f ca="1">TODAY()+17</f>
        <v>44297</v>
      </c>
      <c r="H42" s="48">
        <f ca="1">TODAY()+20</f>
        <v>44300</v>
      </c>
      <c r="I42" s="2"/>
      <c r="J42" s="6"/>
      <c r="K42" s="38">
        <v>5</v>
      </c>
      <c r="L42" s="49"/>
      <c r="M42" s="9">
        <f t="shared" ref="M42" si="12">IF(K42&gt;0,L42/K42,"")</f>
        <v>0</v>
      </c>
      <c r="N42" s="18"/>
      <c r="O42" s="18"/>
      <c r="P42" s="18"/>
      <c r="Q42" s="18"/>
      <c r="R42" s="19"/>
      <c r="S42" s="19"/>
      <c r="T42" s="25"/>
      <c r="U42" s="25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9"/>
      <c r="CZ42" s="43"/>
      <c r="DA42" s="12"/>
      <c r="DB42" s="12"/>
      <c r="DC42" s="12"/>
      <c r="DD42" s="12"/>
      <c r="DE42" s="12"/>
      <c r="DF42" s="12"/>
      <c r="DG42" s="12"/>
      <c r="DH42" s="12"/>
      <c r="DI42" s="12"/>
    </row>
    <row r="43" spans="2:113" ht="18" customHeight="1" x14ac:dyDescent="0.15">
      <c r="B43" s="40">
        <v>39</v>
      </c>
      <c r="C43" s="41"/>
      <c r="D43" s="44"/>
      <c r="E43" s="54" t="s">
        <v>51</v>
      </c>
      <c r="F43" s="53"/>
      <c r="G43" s="47"/>
      <c r="H43" s="48"/>
      <c r="I43" s="1"/>
      <c r="J43" s="5"/>
      <c r="K43" s="38"/>
      <c r="L43" s="49"/>
      <c r="M43" s="9" t="str">
        <f t="shared" si="6"/>
        <v/>
      </c>
      <c r="N43" s="18"/>
      <c r="O43" s="18"/>
      <c r="P43" s="18"/>
      <c r="Q43" s="18"/>
      <c r="R43" s="19"/>
      <c r="S43" s="19"/>
      <c r="T43" s="25"/>
      <c r="U43" s="25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18"/>
      <c r="BG43" s="18"/>
      <c r="BH43" s="18"/>
      <c r="BI43" s="18"/>
      <c r="BJ43" s="18"/>
      <c r="BK43" s="18"/>
      <c r="BL43" s="18"/>
      <c r="BM43" s="18"/>
      <c r="BN43" s="18"/>
      <c r="BO43" s="18"/>
      <c r="BP43" s="18"/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/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9"/>
      <c r="CZ43" s="43"/>
      <c r="DA43" s="12"/>
      <c r="DB43" s="12"/>
      <c r="DC43" s="12"/>
      <c r="DD43" s="12"/>
      <c r="DE43" s="12"/>
      <c r="DF43" s="12"/>
      <c r="DG43" s="12"/>
      <c r="DH43" s="12"/>
      <c r="DI43" s="12"/>
    </row>
    <row r="44" spans="2:113" ht="18" customHeight="1" x14ac:dyDescent="0.15">
      <c r="B44" s="40">
        <v>40</v>
      </c>
      <c r="C44" s="41"/>
      <c r="D44" s="44"/>
      <c r="E44" s="52" t="s">
        <v>52</v>
      </c>
      <c r="F44" s="53"/>
      <c r="G44" s="47"/>
      <c r="H44" s="48"/>
      <c r="I44" s="2"/>
      <c r="J44" s="6"/>
      <c r="K44" s="38"/>
      <c r="L44" s="50"/>
      <c r="M44" s="9" t="str">
        <f>IF(K44&gt;0,L44/K44,"")</f>
        <v/>
      </c>
      <c r="N44" s="16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36"/>
      <c r="BW44" s="36"/>
      <c r="BX44" s="36"/>
      <c r="BY44" s="36"/>
      <c r="BZ44" s="36"/>
      <c r="CA44" s="36"/>
      <c r="CB44" s="36"/>
      <c r="CC44" s="36"/>
      <c r="CD44" s="36"/>
      <c r="CE44" s="36"/>
      <c r="CF44" s="36"/>
      <c r="CG44" s="36"/>
      <c r="CH44" s="36"/>
      <c r="CI44" s="36"/>
      <c r="CJ44" s="36"/>
      <c r="CK44" s="36"/>
      <c r="CL44" s="36"/>
      <c r="CM44" s="36"/>
      <c r="CN44" s="36"/>
      <c r="CO44" s="36"/>
      <c r="CP44" s="36"/>
      <c r="CQ44" s="36"/>
      <c r="CR44" s="36"/>
      <c r="CS44" s="36"/>
      <c r="CT44" s="36"/>
      <c r="CU44" s="36"/>
      <c r="CV44" s="36"/>
      <c r="CW44" s="36"/>
      <c r="CX44" s="36"/>
      <c r="CY44" s="36"/>
      <c r="CZ44" s="37"/>
    </row>
    <row r="45" spans="2:113" ht="18" customHeight="1" x14ac:dyDescent="0.15">
      <c r="B45" s="40">
        <v>41</v>
      </c>
      <c r="C45" s="41"/>
      <c r="D45" s="44"/>
      <c r="E45" s="54" t="s">
        <v>53</v>
      </c>
      <c r="F45" s="53"/>
      <c r="G45" s="47"/>
      <c r="H45" s="48"/>
      <c r="I45" s="63"/>
      <c r="J45" s="4"/>
      <c r="K45" s="38"/>
      <c r="L45" s="58"/>
      <c r="M45" s="9" t="str">
        <f>IF(K45&gt;0,L45/K45,"")</f>
        <v/>
      </c>
      <c r="N45" s="16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36"/>
      <c r="BW45" s="36"/>
      <c r="BX45" s="36"/>
      <c r="BY45" s="36"/>
      <c r="BZ45" s="36"/>
      <c r="CA45" s="36"/>
      <c r="CB45" s="36"/>
      <c r="CC45" s="36"/>
      <c r="CD45" s="36"/>
      <c r="CE45" s="36"/>
      <c r="CF45" s="36"/>
      <c r="CG45" s="36"/>
      <c r="CH45" s="36"/>
      <c r="CI45" s="36"/>
      <c r="CJ45" s="36"/>
      <c r="CK45" s="36"/>
      <c r="CL45" s="36"/>
      <c r="CM45" s="36"/>
      <c r="CN45" s="36"/>
      <c r="CO45" s="36"/>
      <c r="CP45" s="36"/>
      <c r="CQ45" s="36"/>
      <c r="CR45" s="36"/>
      <c r="CS45" s="36"/>
      <c r="CT45" s="36"/>
      <c r="CU45" s="36"/>
      <c r="CV45" s="36"/>
      <c r="CW45" s="36"/>
      <c r="CX45" s="36"/>
      <c r="CY45" s="36"/>
      <c r="CZ45" s="37"/>
    </row>
    <row r="46" spans="2:113" ht="18" customHeight="1" x14ac:dyDescent="0.15">
      <c r="B46" s="40">
        <v>42</v>
      </c>
      <c r="C46" s="41"/>
      <c r="D46" s="44"/>
      <c r="E46" s="52" t="s">
        <v>54</v>
      </c>
      <c r="F46" s="53"/>
      <c r="G46" s="47"/>
      <c r="H46" s="48"/>
      <c r="I46" s="1"/>
      <c r="J46" s="5"/>
      <c r="K46" s="38"/>
      <c r="L46" s="49"/>
      <c r="M46" s="9" t="str">
        <f t="shared" si="6"/>
        <v/>
      </c>
      <c r="N46" s="17"/>
      <c r="O46" s="18"/>
      <c r="P46" s="18"/>
      <c r="Q46" s="18"/>
      <c r="R46" s="18"/>
      <c r="S46" s="18"/>
      <c r="T46" s="19"/>
      <c r="U46" s="19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9"/>
      <c r="CZ46" s="43"/>
      <c r="DA46" s="12"/>
      <c r="DB46" s="12"/>
      <c r="DC46" s="12"/>
      <c r="DD46" s="12"/>
      <c r="DE46" s="12"/>
      <c r="DF46" s="12"/>
      <c r="DG46" s="12"/>
      <c r="DH46" s="12"/>
      <c r="DI46" s="12"/>
    </row>
    <row r="47" spans="2:113" ht="18" customHeight="1" x14ac:dyDescent="0.15">
      <c r="B47" s="40">
        <v>43</v>
      </c>
      <c r="C47" s="41"/>
      <c r="D47" s="41"/>
      <c r="E47" s="54" t="s">
        <v>55</v>
      </c>
      <c r="F47" s="53"/>
      <c r="G47" s="47"/>
      <c r="H47" s="48"/>
      <c r="I47" s="1"/>
      <c r="J47" s="5"/>
      <c r="K47" s="38"/>
      <c r="L47" s="50"/>
      <c r="M47" s="9" t="str">
        <f t="shared" si="6"/>
        <v/>
      </c>
      <c r="N47" s="16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  <c r="BV47" s="36"/>
      <c r="BW47" s="36"/>
      <c r="BX47" s="36"/>
      <c r="BY47" s="36"/>
      <c r="BZ47" s="36"/>
      <c r="CA47" s="36"/>
      <c r="CB47" s="36"/>
      <c r="CC47" s="36"/>
      <c r="CD47" s="36"/>
      <c r="CE47" s="36"/>
      <c r="CF47" s="36"/>
      <c r="CG47" s="36"/>
      <c r="CH47" s="36"/>
      <c r="CI47" s="36"/>
      <c r="CJ47" s="36"/>
      <c r="CK47" s="36"/>
      <c r="CL47" s="36"/>
      <c r="CM47" s="36"/>
      <c r="CN47" s="36"/>
      <c r="CO47" s="36"/>
      <c r="CP47" s="36"/>
      <c r="CQ47" s="36"/>
      <c r="CR47" s="36"/>
      <c r="CS47" s="36"/>
      <c r="CT47" s="36"/>
      <c r="CU47" s="36"/>
      <c r="CV47" s="36"/>
      <c r="CW47" s="36"/>
      <c r="CX47" s="36"/>
      <c r="CY47" s="36"/>
      <c r="CZ47" s="37"/>
    </row>
    <row r="48" spans="2:113" ht="18" customHeight="1" x14ac:dyDescent="0.15">
      <c r="B48" s="40">
        <v>44</v>
      </c>
      <c r="C48" s="41"/>
      <c r="D48" s="41"/>
      <c r="E48" s="52" t="s">
        <v>56</v>
      </c>
      <c r="F48" s="53"/>
      <c r="G48" s="47"/>
      <c r="H48" s="48"/>
      <c r="I48" s="2"/>
      <c r="J48" s="6"/>
      <c r="K48" s="38"/>
      <c r="L48" s="50"/>
      <c r="M48" s="9" t="str">
        <f t="shared" si="6"/>
        <v/>
      </c>
      <c r="N48" s="16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/>
      <c r="BN48" s="15"/>
      <c r="BO48" s="15"/>
      <c r="BP48" s="15"/>
      <c r="BQ48" s="15"/>
      <c r="BR48" s="15"/>
      <c r="BS48" s="15"/>
      <c r="BT48" s="15"/>
      <c r="BU48" s="15"/>
      <c r="BV48" s="36"/>
      <c r="BW48" s="36"/>
      <c r="BX48" s="36"/>
      <c r="BY48" s="36"/>
      <c r="BZ48" s="36"/>
      <c r="CA48" s="36"/>
      <c r="CB48" s="36"/>
      <c r="CC48" s="36"/>
      <c r="CD48" s="36"/>
      <c r="CE48" s="36"/>
      <c r="CF48" s="36"/>
      <c r="CG48" s="36"/>
      <c r="CH48" s="36"/>
      <c r="CI48" s="36"/>
      <c r="CJ48" s="36"/>
      <c r="CK48" s="36"/>
      <c r="CL48" s="36"/>
      <c r="CM48" s="36"/>
      <c r="CN48" s="36"/>
      <c r="CO48" s="36"/>
      <c r="CP48" s="36"/>
      <c r="CQ48" s="36"/>
      <c r="CR48" s="36"/>
      <c r="CS48" s="36"/>
      <c r="CT48" s="36"/>
      <c r="CU48" s="36"/>
      <c r="CV48" s="36"/>
      <c r="CW48" s="36"/>
      <c r="CX48" s="36"/>
      <c r="CY48" s="36"/>
      <c r="CZ48" s="37"/>
    </row>
    <row r="49" spans="2:113" ht="18" customHeight="1" x14ac:dyDescent="0.15">
      <c r="B49" s="40">
        <v>45</v>
      </c>
      <c r="C49" s="41"/>
      <c r="D49" s="41"/>
      <c r="E49" s="54" t="s">
        <v>57</v>
      </c>
      <c r="F49" s="53"/>
      <c r="G49" s="47"/>
      <c r="H49" s="48"/>
      <c r="I49" s="63"/>
      <c r="J49" s="4"/>
      <c r="K49" s="38"/>
      <c r="L49" s="58"/>
      <c r="M49" s="9" t="str">
        <f>IF(K49&gt;0,L49/K49,"")</f>
        <v/>
      </c>
      <c r="N49" s="16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5"/>
      <c r="BN49" s="15"/>
      <c r="BO49" s="15"/>
      <c r="BP49" s="15"/>
      <c r="BQ49" s="15"/>
      <c r="BR49" s="15"/>
      <c r="BS49" s="15"/>
      <c r="BT49" s="15"/>
      <c r="BU49" s="15"/>
      <c r="BV49" s="36"/>
      <c r="BW49" s="36"/>
      <c r="BX49" s="36"/>
      <c r="BY49" s="36"/>
      <c r="BZ49" s="36"/>
      <c r="CA49" s="36"/>
      <c r="CB49" s="36"/>
      <c r="CC49" s="36"/>
      <c r="CD49" s="36"/>
      <c r="CE49" s="36"/>
      <c r="CF49" s="36"/>
      <c r="CG49" s="36"/>
      <c r="CH49" s="36"/>
      <c r="CI49" s="36"/>
      <c r="CJ49" s="36"/>
      <c r="CK49" s="36"/>
      <c r="CL49" s="36"/>
      <c r="CM49" s="36"/>
      <c r="CN49" s="36"/>
      <c r="CO49" s="36"/>
      <c r="CP49" s="36"/>
      <c r="CQ49" s="36"/>
      <c r="CR49" s="36"/>
      <c r="CS49" s="36"/>
      <c r="CT49" s="36"/>
      <c r="CU49" s="36"/>
      <c r="CV49" s="36"/>
      <c r="CW49" s="36"/>
      <c r="CX49" s="36"/>
      <c r="CY49" s="36"/>
      <c r="CZ49" s="37"/>
    </row>
    <row r="50" spans="2:113" ht="18" customHeight="1" x14ac:dyDescent="0.15">
      <c r="B50" s="40">
        <v>46</v>
      </c>
      <c r="C50" s="41"/>
      <c r="D50" s="41"/>
      <c r="E50" s="52" t="s">
        <v>58</v>
      </c>
      <c r="F50" s="53"/>
      <c r="G50" s="47"/>
      <c r="H50" s="48"/>
      <c r="I50" s="63"/>
      <c r="J50" s="4"/>
      <c r="K50" s="38"/>
      <c r="L50" s="56"/>
      <c r="M50" s="9" t="str">
        <f t="shared" si="6"/>
        <v/>
      </c>
      <c r="N50" s="18"/>
      <c r="O50" s="18"/>
      <c r="P50" s="18"/>
      <c r="Q50" s="18"/>
      <c r="R50" s="19"/>
      <c r="S50" s="19"/>
      <c r="T50" s="19"/>
      <c r="U50" s="19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9"/>
      <c r="CZ50" s="43"/>
      <c r="DA50" s="12"/>
      <c r="DB50" s="12"/>
      <c r="DC50" s="12"/>
      <c r="DD50" s="12"/>
      <c r="DE50" s="12"/>
      <c r="DF50" s="12"/>
      <c r="DG50" s="12"/>
      <c r="DH50" s="12"/>
      <c r="DI50" s="12"/>
    </row>
    <row r="51" spans="2:113" ht="18" customHeight="1" x14ac:dyDescent="0.15">
      <c r="B51" s="40">
        <v>47</v>
      </c>
      <c r="C51" s="41"/>
      <c r="D51" s="44"/>
      <c r="E51" s="54" t="s">
        <v>59</v>
      </c>
      <c r="F51" s="53"/>
      <c r="G51" s="47"/>
      <c r="H51" s="48"/>
      <c r="I51" s="63"/>
      <c r="J51" s="4"/>
      <c r="K51" s="38"/>
      <c r="L51" s="56"/>
      <c r="M51" s="9" t="str">
        <f t="shared" si="6"/>
        <v/>
      </c>
      <c r="N51" s="18"/>
      <c r="O51" s="18"/>
      <c r="P51" s="18"/>
      <c r="Q51" s="18"/>
      <c r="R51" s="19"/>
      <c r="S51" s="19"/>
      <c r="T51" s="19"/>
      <c r="U51" s="19"/>
      <c r="V51" s="27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  <c r="AX51" s="28"/>
      <c r="AY51" s="28"/>
      <c r="AZ51" s="28"/>
      <c r="BA51" s="28"/>
      <c r="BB51" s="28"/>
      <c r="BC51" s="28"/>
      <c r="BD51" s="28"/>
      <c r="BE51" s="28"/>
      <c r="BF51" s="29"/>
      <c r="BG51" s="29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9"/>
      <c r="CZ51" s="43"/>
      <c r="DA51" s="12"/>
      <c r="DB51" s="12"/>
      <c r="DC51" s="12"/>
      <c r="DD51" s="12"/>
      <c r="DE51" s="12"/>
      <c r="DF51" s="12"/>
      <c r="DG51" s="12"/>
      <c r="DH51" s="12"/>
      <c r="DI51" s="12"/>
    </row>
    <row r="52" spans="2:113" ht="18" customHeight="1" x14ac:dyDescent="0.15">
      <c r="B52" s="40">
        <v>48</v>
      </c>
      <c r="C52" s="41"/>
      <c r="D52" s="44"/>
      <c r="E52" s="52" t="s">
        <v>60</v>
      </c>
      <c r="F52" s="53"/>
      <c r="G52" s="47"/>
      <c r="H52" s="48"/>
      <c r="I52" s="63"/>
      <c r="J52" s="4"/>
      <c r="K52" s="38"/>
      <c r="L52" s="56"/>
      <c r="M52" s="9" t="str">
        <f t="shared" si="6"/>
        <v/>
      </c>
      <c r="N52" s="18"/>
      <c r="O52" s="18"/>
      <c r="P52" s="18"/>
      <c r="Q52" s="18"/>
      <c r="R52" s="19"/>
      <c r="S52" s="19"/>
      <c r="T52" s="25"/>
      <c r="U52" s="25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9"/>
      <c r="CZ52" s="43"/>
      <c r="DA52" s="12"/>
      <c r="DB52" s="12"/>
      <c r="DC52" s="12"/>
      <c r="DD52" s="12"/>
      <c r="DE52" s="12"/>
      <c r="DF52" s="12"/>
      <c r="DG52" s="12"/>
      <c r="DH52" s="12"/>
      <c r="DI52" s="12"/>
    </row>
    <row r="53" spans="2:113" ht="18" customHeight="1" x14ac:dyDescent="0.15">
      <c r="B53" s="40">
        <v>49</v>
      </c>
      <c r="C53" s="41"/>
      <c r="D53" s="44"/>
      <c r="E53" s="54" t="s">
        <v>61</v>
      </c>
      <c r="F53" s="53"/>
      <c r="G53" s="47"/>
      <c r="H53" s="48"/>
      <c r="I53" s="3"/>
      <c r="J53" s="7"/>
      <c r="K53" s="38"/>
      <c r="L53" s="55"/>
      <c r="M53" s="9" t="str">
        <f t="shared" si="6"/>
        <v/>
      </c>
      <c r="N53" s="32"/>
      <c r="O53" s="18"/>
      <c r="P53" s="18"/>
      <c r="Q53" s="18"/>
      <c r="R53" s="19"/>
      <c r="S53" s="19"/>
      <c r="T53" s="19"/>
      <c r="U53" s="19"/>
      <c r="V53" s="19"/>
      <c r="W53" s="19"/>
      <c r="X53" s="19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33"/>
      <c r="AW53" s="33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9"/>
      <c r="CZ53" s="43"/>
      <c r="DA53" s="12"/>
      <c r="DB53" s="12"/>
      <c r="DC53" s="12"/>
      <c r="DD53" s="12"/>
      <c r="DE53" s="12"/>
      <c r="DF53" s="12"/>
      <c r="DG53" s="12"/>
      <c r="DH53" s="12"/>
      <c r="DI53" s="12"/>
    </row>
    <row r="54" spans="2:113" ht="18" customHeight="1" x14ac:dyDescent="0.15">
      <c r="B54" s="40">
        <v>50</v>
      </c>
      <c r="C54" s="45"/>
      <c r="D54" s="46"/>
      <c r="E54" s="52" t="s">
        <v>62</v>
      </c>
      <c r="F54" s="53"/>
      <c r="G54" s="47"/>
      <c r="H54" s="48"/>
      <c r="I54" s="63"/>
      <c r="J54" s="4"/>
      <c r="K54" s="38"/>
      <c r="L54" s="58"/>
      <c r="M54" s="9" t="str">
        <f t="shared" si="6"/>
        <v/>
      </c>
      <c r="N54" s="16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5"/>
      <c r="BN54" s="15"/>
      <c r="BO54" s="15"/>
      <c r="BP54" s="15"/>
      <c r="BQ54" s="15"/>
      <c r="BR54" s="15"/>
      <c r="BS54" s="15"/>
      <c r="BT54" s="15"/>
      <c r="BU54" s="15"/>
      <c r="BV54" s="36"/>
      <c r="BW54" s="36"/>
      <c r="BX54" s="36"/>
      <c r="BY54" s="36"/>
      <c r="BZ54" s="36"/>
      <c r="CA54" s="36"/>
      <c r="CB54" s="36"/>
      <c r="CC54" s="36"/>
      <c r="CD54" s="36"/>
      <c r="CE54" s="36"/>
      <c r="CF54" s="36"/>
      <c r="CG54" s="36"/>
      <c r="CH54" s="36"/>
      <c r="CI54" s="36"/>
      <c r="CJ54" s="36"/>
      <c r="CK54" s="36"/>
      <c r="CL54" s="36"/>
      <c r="CM54" s="36"/>
      <c r="CN54" s="36"/>
      <c r="CO54" s="36"/>
      <c r="CP54" s="36"/>
      <c r="CQ54" s="36"/>
      <c r="CR54" s="36"/>
      <c r="CS54" s="36"/>
      <c r="CT54" s="36"/>
      <c r="CU54" s="36"/>
      <c r="CV54" s="36"/>
      <c r="CW54" s="36"/>
      <c r="CX54" s="36"/>
      <c r="CY54" s="36"/>
      <c r="CZ54" s="37"/>
    </row>
  </sheetData>
  <autoFilter ref="A4:DI54" xr:uid="{00000000-0009-0000-0000-000004000000}"/>
  <mergeCells count="13">
    <mergeCell ref="K3:K4"/>
    <mergeCell ref="L3:L4"/>
    <mergeCell ref="M3:M4"/>
    <mergeCell ref="B2:B4"/>
    <mergeCell ref="C2:E2"/>
    <mergeCell ref="F2:F4"/>
    <mergeCell ref="G2:J2"/>
    <mergeCell ref="K2:M2"/>
    <mergeCell ref="C3:C4"/>
    <mergeCell ref="D3:D4"/>
    <mergeCell ref="E3:E4"/>
    <mergeCell ref="G3:H3"/>
    <mergeCell ref="I3:J3"/>
  </mergeCells>
  <phoneticPr fontId="4"/>
  <conditionalFormatting sqref="N2:CZ54">
    <cfRule type="expression" dxfId="18" priority="4">
      <formula>DAY(N$3)=1</formula>
    </cfRule>
  </conditionalFormatting>
  <conditionalFormatting sqref="N3:CZ54">
    <cfRule type="expression" dxfId="17" priority="2">
      <formula>DAY(N$3)&gt;1</formula>
    </cfRule>
  </conditionalFormatting>
  <conditionalFormatting sqref="N5:CZ54">
    <cfRule type="expression" dxfId="16" priority="1">
      <formula>IF(AND(N$3&gt;=$G5, N$3-7 &lt;$H5)=TRUE, TRUE, FALSE)</formula>
    </cfRule>
  </conditionalFormatting>
  <pageMargins left="0.23622047244094491" right="0.23622047244094491" top="0.74803149606299213" bottom="0.74803149606299213" header="0.31496062992125984" footer="0.31496062992125984"/>
  <pageSetup paperSize="8" scale="25" fitToHeight="0" orientation="landscape" r:id="rId1"/>
  <headerFooter alignWithMargins="0">
    <oddHeader>&amp;R&amp;16&amp;D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DI54"/>
  <sheetViews>
    <sheetView showGridLines="0" zoomScale="70" zoomScaleNormal="70" zoomScaleSheetLayoutView="7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AB30" sqref="AB30"/>
    </sheetView>
  </sheetViews>
  <sheetFormatPr defaultRowHeight="14.25" x14ac:dyDescent="0.2"/>
  <cols>
    <col min="1" max="1" width="3.875" style="11" bestFit="1" customWidth="1"/>
    <col min="2" max="2" width="5" bestFit="1" customWidth="1"/>
    <col min="3" max="5" width="9.875" bestFit="1" customWidth="1"/>
    <col min="6" max="6" width="7" bestFit="1" customWidth="1"/>
    <col min="7" max="8" width="11.75" bestFit="1" customWidth="1"/>
    <col min="9" max="10" width="7.125" customWidth="1"/>
    <col min="11" max="12" width="7.125" style="39" customWidth="1"/>
    <col min="13" max="13" width="11.125" style="39" bestFit="1" customWidth="1"/>
    <col min="14" max="21" width="10.625" customWidth="1"/>
    <col min="22" max="73" width="10.625" style="12" customWidth="1"/>
    <col min="74" max="104" width="10.625" style="35" customWidth="1"/>
  </cols>
  <sheetData>
    <row r="1" spans="2:113" s="11" customFormat="1" ht="16.5" customHeight="1" x14ac:dyDescent="0.15">
      <c r="B1" s="10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4"/>
      <c r="BO1" s="14"/>
      <c r="BP1" s="14"/>
      <c r="BQ1" s="13"/>
      <c r="BR1" s="13"/>
      <c r="BS1" s="13"/>
      <c r="BT1" s="13"/>
      <c r="BU1" s="13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</row>
    <row r="2" spans="2:113" ht="25.5" customHeight="1" x14ac:dyDescent="0.15">
      <c r="B2" s="82" t="s">
        <v>10</v>
      </c>
      <c r="C2" s="85" t="s">
        <v>0</v>
      </c>
      <c r="D2" s="86"/>
      <c r="E2" s="87"/>
      <c r="F2" s="88" t="s">
        <v>12</v>
      </c>
      <c r="G2" s="91" t="s">
        <v>4</v>
      </c>
      <c r="H2" s="92"/>
      <c r="I2" s="92"/>
      <c r="J2" s="93"/>
      <c r="K2" s="86" t="s">
        <v>63</v>
      </c>
      <c r="L2" s="86"/>
      <c r="M2" s="86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64"/>
      <c r="CQ2" s="64"/>
      <c r="CR2" s="64"/>
      <c r="CS2" s="64"/>
      <c r="CT2" s="64"/>
      <c r="CU2" s="64"/>
      <c r="CV2" s="64"/>
      <c r="CW2" s="64"/>
      <c r="CX2" s="64"/>
      <c r="CY2" s="64"/>
      <c r="CZ2" s="64"/>
    </row>
    <row r="3" spans="2:113" ht="17.25" customHeight="1" x14ac:dyDescent="0.15">
      <c r="B3" s="83"/>
      <c r="C3" s="94" t="s">
        <v>1</v>
      </c>
      <c r="D3" s="96" t="s">
        <v>2</v>
      </c>
      <c r="E3" s="96" t="s">
        <v>9</v>
      </c>
      <c r="F3" s="89"/>
      <c r="G3" s="97" t="s">
        <v>7</v>
      </c>
      <c r="H3" s="97"/>
      <c r="I3" s="97" t="s">
        <v>3</v>
      </c>
      <c r="J3" s="97"/>
      <c r="K3" s="76" t="s">
        <v>11</v>
      </c>
      <c r="L3" s="78" t="s">
        <v>3</v>
      </c>
      <c r="M3" s="80" t="s">
        <v>8</v>
      </c>
      <c r="N3" s="70">
        <f ca="1">DATE(YEAR(TODAY()),MONTH(TODAY())-2,0)</f>
        <v>44196</v>
      </c>
      <c r="O3" s="71">
        <f ca="1">DATE(YEAR(N3),(MONTH(N3)+2),0)</f>
        <v>44227</v>
      </c>
      <c r="P3" s="71">
        <f t="shared" ref="P3:CA3" ca="1" si="0">DATE(YEAR(O3),MONTH(O3)+2,0)</f>
        <v>44255</v>
      </c>
      <c r="Q3" s="71">
        <f t="shared" ca="1" si="0"/>
        <v>44286</v>
      </c>
      <c r="R3" s="71">
        <f t="shared" ca="1" si="0"/>
        <v>44316</v>
      </c>
      <c r="S3" s="71">
        <f t="shared" ca="1" si="0"/>
        <v>44347</v>
      </c>
      <c r="T3" s="71">
        <f t="shared" ca="1" si="0"/>
        <v>44377</v>
      </c>
      <c r="U3" s="71">
        <f t="shared" ca="1" si="0"/>
        <v>44408</v>
      </c>
      <c r="V3" s="71">
        <f t="shared" ca="1" si="0"/>
        <v>44439</v>
      </c>
      <c r="W3" s="71">
        <f t="shared" ca="1" si="0"/>
        <v>44469</v>
      </c>
      <c r="X3" s="71">
        <f t="shared" ca="1" si="0"/>
        <v>44500</v>
      </c>
      <c r="Y3" s="71">
        <f t="shared" ca="1" si="0"/>
        <v>44530</v>
      </c>
      <c r="Z3" s="71">
        <f t="shared" ca="1" si="0"/>
        <v>44561</v>
      </c>
      <c r="AA3" s="71">
        <f t="shared" ca="1" si="0"/>
        <v>44592</v>
      </c>
      <c r="AB3" s="71">
        <f t="shared" ca="1" si="0"/>
        <v>44620</v>
      </c>
      <c r="AC3" s="71">
        <f t="shared" ca="1" si="0"/>
        <v>44651</v>
      </c>
      <c r="AD3" s="71">
        <f t="shared" ca="1" si="0"/>
        <v>44681</v>
      </c>
      <c r="AE3" s="71">
        <f t="shared" ca="1" si="0"/>
        <v>44712</v>
      </c>
      <c r="AF3" s="71">
        <f t="shared" ca="1" si="0"/>
        <v>44742</v>
      </c>
      <c r="AG3" s="71">
        <f t="shared" ca="1" si="0"/>
        <v>44773</v>
      </c>
      <c r="AH3" s="71">
        <f t="shared" ca="1" si="0"/>
        <v>44804</v>
      </c>
      <c r="AI3" s="71">
        <f t="shared" ca="1" si="0"/>
        <v>44834</v>
      </c>
      <c r="AJ3" s="71">
        <f t="shared" ca="1" si="0"/>
        <v>44865</v>
      </c>
      <c r="AK3" s="71">
        <f t="shared" ca="1" si="0"/>
        <v>44895</v>
      </c>
      <c r="AL3" s="71">
        <f t="shared" ca="1" si="0"/>
        <v>44926</v>
      </c>
      <c r="AM3" s="71">
        <f t="shared" ca="1" si="0"/>
        <v>44957</v>
      </c>
      <c r="AN3" s="71">
        <f t="shared" ca="1" si="0"/>
        <v>44985</v>
      </c>
      <c r="AO3" s="71">
        <f t="shared" ca="1" si="0"/>
        <v>45016</v>
      </c>
      <c r="AP3" s="71">
        <f t="shared" ca="1" si="0"/>
        <v>45046</v>
      </c>
      <c r="AQ3" s="71">
        <f t="shared" ca="1" si="0"/>
        <v>45077</v>
      </c>
      <c r="AR3" s="71">
        <f t="shared" ca="1" si="0"/>
        <v>45107</v>
      </c>
      <c r="AS3" s="71">
        <f t="shared" ca="1" si="0"/>
        <v>45138</v>
      </c>
      <c r="AT3" s="71">
        <f t="shared" ca="1" si="0"/>
        <v>45169</v>
      </c>
      <c r="AU3" s="71">
        <f t="shared" ca="1" si="0"/>
        <v>45199</v>
      </c>
      <c r="AV3" s="71">
        <f t="shared" ca="1" si="0"/>
        <v>45230</v>
      </c>
      <c r="AW3" s="71">
        <f t="shared" ca="1" si="0"/>
        <v>45260</v>
      </c>
      <c r="AX3" s="71">
        <f t="shared" ca="1" si="0"/>
        <v>45291</v>
      </c>
      <c r="AY3" s="71">
        <f t="shared" ca="1" si="0"/>
        <v>45322</v>
      </c>
      <c r="AZ3" s="71">
        <f t="shared" ca="1" si="0"/>
        <v>45351</v>
      </c>
      <c r="BA3" s="71">
        <f t="shared" ca="1" si="0"/>
        <v>45382</v>
      </c>
      <c r="BB3" s="71">
        <f t="shared" ca="1" si="0"/>
        <v>45412</v>
      </c>
      <c r="BC3" s="71">
        <f t="shared" ca="1" si="0"/>
        <v>45443</v>
      </c>
      <c r="BD3" s="71">
        <f t="shared" ca="1" si="0"/>
        <v>45473</v>
      </c>
      <c r="BE3" s="71">
        <f t="shared" ca="1" si="0"/>
        <v>45504</v>
      </c>
      <c r="BF3" s="71">
        <f t="shared" ca="1" si="0"/>
        <v>45535</v>
      </c>
      <c r="BG3" s="71">
        <f t="shared" ca="1" si="0"/>
        <v>45565</v>
      </c>
      <c r="BH3" s="71">
        <f t="shared" ca="1" si="0"/>
        <v>45596</v>
      </c>
      <c r="BI3" s="71">
        <f t="shared" ca="1" si="0"/>
        <v>45626</v>
      </c>
      <c r="BJ3" s="71">
        <f t="shared" ca="1" si="0"/>
        <v>45657</v>
      </c>
      <c r="BK3" s="71">
        <f t="shared" ca="1" si="0"/>
        <v>45688</v>
      </c>
      <c r="BL3" s="71">
        <f t="shared" ca="1" si="0"/>
        <v>45716</v>
      </c>
      <c r="BM3" s="71">
        <f t="shared" ca="1" si="0"/>
        <v>45747</v>
      </c>
      <c r="BN3" s="71">
        <f t="shared" ca="1" si="0"/>
        <v>45777</v>
      </c>
      <c r="BO3" s="71">
        <f t="shared" ca="1" si="0"/>
        <v>45808</v>
      </c>
      <c r="BP3" s="71">
        <f t="shared" ca="1" si="0"/>
        <v>45838</v>
      </c>
      <c r="BQ3" s="71">
        <f t="shared" ca="1" si="0"/>
        <v>45869</v>
      </c>
      <c r="BR3" s="71">
        <f t="shared" ca="1" si="0"/>
        <v>45900</v>
      </c>
      <c r="BS3" s="71">
        <f t="shared" ca="1" si="0"/>
        <v>45930</v>
      </c>
      <c r="BT3" s="71">
        <f t="shared" ca="1" si="0"/>
        <v>45961</v>
      </c>
      <c r="BU3" s="71">
        <f t="shared" ca="1" si="0"/>
        <v>45991</v>
      </c>
      <c r="BV3" s="71">
        <f t="shared" ca="1" si="0"/>
        <v>46022</v>
      </c>
      <c r="BW3" s="71">
        <f t="shared" ca="1" si="0"/>
        <v>46053</v>
      </c>
      <c r="BX3" s="71">
        <f t="shared" ca="1" si="0"/>
        <v>46081</v>
      </c>
      <c r="BY3" s="71">
        <f t="shared" ca="1" si="0"/>
        <v>46112</v>
      </c>
      <c r="BZ3" s="71">
        <f t="shared" ca="1" si="0"/>
        <v>46142</v>
      </c>
      <c r="CA3" s="71">
        <f t="shared" ca="1" si="0"/>
        <v>46173</v>
      </c>
      <c r="CB3" s="71">
        <f t="shared" ref="CB3:CZ3" ca="1" si="1">DATE(YEAR(CA3),MONTH(CA3)+2,0)</f>
        <v>46203</v>
      </c>
      <c r="CC3" s="71">
        <f t="shared" ca="1" si="1"/>
        <v>46234</v>
      </c>
      <c r="CD3" s="71">
        <f t="shared" ca="1" si="1"/>
        <v>46265</v>
      </c>
      <c r="CE3" s="71">
        <f t="shared" ca="1" si="1"/>
        <v>46295</v>
      </c>
      <c r="CF3" s="71">
        <f t="shared" ca="1" si="1"/>
        <v>46326</v>
      </c>
      <c r="CG3" s="71">
        <f t="shared" ca="1" si="1"/>
        <v>46356</v>
      </c>
      <c r="CH3" s="71">
        <f t="shared" ca="1" si="1"/>
        <v>46387</v>
      </c>
      <c r="CI3" s="71">
        <f t="shared" ca="1" si="1"/>
        <v>46418</v>
      </c>
      <c r="CJ3" s="71">
        <f t="shared" ca="1" si="1"/>
        <v>46446</v>
      </c>
      <c r="CK3" s="71">
        <f t="shared" ca="1" si="1"/>
        <v>46477</v>
      </c>
      <c r="CL3" s="71">
        <f t="shared" ca="1" si="1"/>
        <v>46507</v>
      </c>
      <c r="CM3" s="71">
        <f t="shared" ca="1" si="1"/>
        <v>46538</v>
      </c>
      <c r="CN3" s="71">
        <f t="shared" ca="1" si="1"/>
        <v>46568</v>
      </c>
      <c r="CO3" s="71">
        <f t="shared" ca="1" si="1"/>
        <v>46599</v>
      </c>
      <c r="CP3" s="71">
        <f t="shared" ca="1" si="1"/>
        <v>46630</v>
      </c>
      <c r="CQ3" s="71">
        <f t="shared" ca="1" si="1"/>
        <v>46660</v>
      </c>
      <c r="CR3" s="71">
        <f t="shared" ca="1" si="1"/>
        <v>46691</v>
      </c>
      <c r="CS3" s="71">
        <f t="shared" ca="1" si="1"/>
        <v>46721</v>
      </c>
      <c r="CT3" s="71">
        <f t="shared" ca="1" si="1"/>
        <v>46752</v>
      </c>
      <c r="CU3" s="71">
        <f t="shared" ca="1" si="1"/>
        <v>46783</v>
      </c>
      <c r="CV3" s="71">
        <f t="shared" ca="1" si="1"/>
        <v>46812</v>
      </c>
      <c r="CW3" s="71">
        <f t="shared" ca="1" si="1"/>
        <v>46843</v>
      </c>
      <c r="CX3" s="71">
        <f t="shared" ca="1" si="1"/>
        <v>46873</v>
      </c>
      <c r="CY3" s="71">
        <f t="shared" ca="1" si="1"/>
        <v>46904</v>
      </c>
      <c r="CZ3" s="71">
        <f t="shared" ca="1" si="1"/>
        <v>46934</v>
      </c>
    </row>
    <row r="4" spans="2:113" ht="17.25" x14ac:dyDescent="0.15">
      <c r="B4" s="84"/>
      <c r="C4" s="95"/>
      <c r="D4" s="96"/>
      <c r="E4" s="96"/>
      <c r="F4" s="90"/>
      <c r="G4" s="63" t="s">
        <v>5</v>
      </c>
      <c r="H4" s="4" t="s">
        <v>6</v>
      </c>
      <c r="I4" s="63" t="s">
        <v>5</v>
      </c>
      <c r="J4" s="4" t="s">
        <v>6</v>
      </c>
      <c r="K4" s="77"/>
      <c r="L4" s="79"/>
      <c r="M4" s="81"/>
      <c r="N4" s="16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</row>
    <row r="5" spans="2:113" ht="18" customHeight="1" x14ac:dyDescent="0.15">
      <c r="B5" s="40">
        <v>1</v>
      </c>
      <c r="C5" s="51" t="s">
        <v>65</v>
      </c>
      <c r="D5" s="51"/>
      <c r="E5" s="54" t="s">
        <v>13</v>
      </c>
      <c r="F5" s="53" t="s">
        <v>14</v>
      </c>
      <c r="G5" s="47">
        <f ca="1">TODAY()-1</f>
        <v>44279</v>
      </c>
      <c r="H5" s="48">
        <f ca="1">TODAY()+5</f>
        <v>44285</v>
      </c>
      <c r="I5" s="2"/>
      <c r="J5" s="6"/>
      <c r="K5" s="38">
        <v>5</v>
      </c>
      <c r="L5" s="8">
        <v>1</v>
      </c>
      <c r="M5" s="9">
        <f>IF(K5&gt;0,L5/K5,"")</f>
        <v>0.2</v>
      </c>
      <c r="N5" s="42"/>
      <c r="O5" s="42"/>
      <c r="P5" s="42"/>
      <c r="Q5" s="42"/>
      <c r="R5" s="18"/>
      <c r="S5" s="18"/>
      <c r="T5" s="18"/>
      <c r="U5" s="18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9"/>
      <c r="CZ5" s="43"/>
      <c r="DA5" s="12"/>
      <c r="DB5" s="12"/>
      <c r="DC5" s="12"/>
      <c r="DD5" s="12"/>
      <c r="DE5" s="12"/>
      <c r="DF5" s="12"/>
      <c r="DG5" s="12"/>
      <c r="DH5" s="12"/>
      <c r="DI5" s="12"/>
    </row>
    <row r="6" spans="2:113" ht="18" customHeight="1" x14ac:dyDescent="0.15">
      <c r="B6" s="40">
        <v>2</v>
      </c>
      <c r="C6" s="41"/>
      <c r="D6" s="41"/>
      <c r="E6" s="52" t="s">
        <v>67</v>
      </c>
      <c r="F6" s="53" t="s">
        <v>14</v>
      </c>
      <c r="G6" s="47">
        <f ca="1">TODAY()-10</f>
        <v>44270</v>
      </c>
      <c r="H6" s="48">
        <f ca="1">TODAY()-5</f>
        <v>44275</v>
      </c>
      <c r="I6" s="1"/>
      <c r="J6" s="5"/>
      <c r="K6" s="38">
        <v>5</v>
      </c>
      <c r="L6" s="49">
        <v>2</v>
      </c>
      <c r="M6" s="9">
        <f t="shared" ref="M6:M54" si="2">IF(K6&gt;0,L6/K6,"")</f>
        <v>0.4</v>
      </c>
      <c r="N6" s="18"/>
      <c r="O6" s="24"/>
      <c r="P6" s="24"/>
      <c r="Q6" s="24"/>
      <c r="R6" s="19"/>
      <c r="S6" s="19"/>
      <c r="T6" s="19"/>
      <c r="U6" s="19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9"/>
      <c r="CZ6" s="43"/>
      <c r="DA6" s="12"/>
      <c r="DB6" s="12"/>
      <c r="DC6" s="12"/>
      <c r="DD6" s="12"/>
      <c r="DE6" s="12"/>
      <c r="DF6" s="12"/>
      <c r="DG6" s="12"/>
      <c r="DH6" s="12"/>
      <c r="DI6" s="12"/>
    </row>
    <row r="7" spans="2:113" ht="18" customHeight="1" x14ac:dyDescent="0.15">
      <c r="B7" s="40">
        <v>3</v>
      </c>
      <c r="C7" s="41"/>
      <c r="D7" s="41"/>
      <c r="E7" s="54" t="s">
        <v>15</v>
      </c>
      <c r="F7" s="53" t="s">
        <v>14</v>
      </c>
      <c r="G7" s="47">
        <f ca="1">TODAY()-10</f>
        <v>44270</v>
      </c>
      <c r="H7" s="48">
        <f t="shared" ref="H7:H36" ca="1" si="3">TODAY()+5</f>
        <v>44285</v>
      </c>
      <c r="I7" s="1"/>
      <c r="J7" s="5"/>
      <c r="K7" s="38">
        <v>5</v>
      </c>
      <c r="L7" s="55">
        <v>3</v>
      </c>
      <c r="M7" s="9">
        <f t="shared" si="2"/>
        <v>0.6</v>
      </c>
      <c r="N7" s="17"/>
      <c r="O7" s="18"/>
      <c r="P7" s="18"/>
      <c r="Q7" s="18"/>
      <c r="R7" s="19"/>
      <c r="S7" s="19"/>
      <c r="T7" s="19"/>
      <c r="U7" s="19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9"/>
      <c r="CZ7" s="43"/>
      <c r="DA7" s="12"/>
      <c r="DB7" s="12"/>
      <c r="DC7" s="12"/>
      <c r="DD7" s="12"/>
      <c r="DE7" s="12"/>
      <c r="DF7" s="12"/>
      <c r="DG7" s="12"/>
      <c r="DH7" s="12"/>
      <c r="DI7" s="12"/>
    </row>
    <row r="8" spans="2:113" ht="18" customHeight="1" x14ac:dyDescent="0.15">
      <c r="B8" s="40">
        <v>4</v>
      </c>
      <c r="C8" s="41"/>
      <c r="D8" s="44"/>
      <c r="E8" s="52" t="s">
        <v>16</v>
      </c>
      <c r="F8" s="53" t="s">
        <v>14</v>
      </c>
      <c r="G8" s="47">
        <f ca="1">TODAY()-28</f>
        <v>44252</v>
      </c>
      <c r="H8" s="48">
        <f ca="1">TODAY()-20</f>
        <v>44260</v>
      </c>
      <c r="I8" s="63"/>
      <c r="J8" s="4"/>
      <c r="K8" s="38">
        <v>5</v>
      </c>
      <c r="L8" s="56">
        <v>4</v>
      </c>
      <c r="M8" s="9">
        <f t="shared" si="2"/>
        <v>0.8</v>
      </c>
      <c r="N8" s="17"/>
      <c r="O8" s="18"/>
      <c r="P8" s="18"/>
      <c r="Q8" s="18"/>
      <c r="R8" s="19"/>
      <c r="S8" s="19"/>
      <c r="T8" s="19"/>
      <c r="U8" s="19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9"/>
      <c r="CZ8" s="43"/>
      <c r="DA8" s="12"/>
      <c r="DB8" s="12"/>
      <c r="DC8" s="12"/>
      <c r="DD8" s="12"/>
      <c r="DE8" s="12"/>
      <c r="DF8" s="12"/>
      <c r="DG8" s="12"/>
      <c r="DH8" s="12"/>
      <c r="DI8" s="12"/>
    </row>
    <row r="9" spans="2:113" ht="18" customHeight="1" x14ac:dyDescent="0.15">
      <c r="B9" s="40">
        <v>5</v>
      </c>
      <c r="C9" s="41"/>
      <c r="D9" s="41"/>
      <c r="E9" s="54" t="s">
        <v>17</v>
      </c>
      <c r="F9" s="53" t="s">
        <v>14</v>
      </c>
      <c r="G9" s="47">
        <f t="shared" ref="G9:G36" ca="1" si="4">TODAY()-1</f>
        <v>44279</v>
      </c>
      <c r="H9" s="48">
        <f t="shared" ca="1" si="3"/>
        <v>44285</v>
      </c>
      <c r="I9" s="2"/>
      <c r="J9" s="6"/>
      <c r="K9" s="38">
        <v>5</v>
      </c>
      <c r="L9" s="49">
        <v>5</v>
      </c>
      <c r="M9" s="9">
        <f>IF(K9&gt;0,L9/K9,"")</f>
        <v>1</v>
      </c>
      <c r="N9" s="32"/>
      <c r="O9" s="18"/>
      <c r="P9" s="18"/>
      <c r="Q9" s="18"/>
      <c r="R9" s="19"/>
      <c r="S9" s="19"/>
      <c r="T9" s="19"/>
      <c r="U9" s="19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9"/>
      <c r="CZ9" s="43"/>
      <c r="DA9" s="12"/>
      <c r="DB9" s="12"/>
      <c r="DC9" s="12"/>
      <c r="DD9" s="12"/>
      <c r="DE9" s="12"/>
      <c r="DF9" s="12"/>
      <c r="DG9" s="12"/>
      <c r="DH9" s="12"/>
      <c r="DI9" s="12"/>
    </row>
    <row r="10" spans="2:113" ht="18" customHeight="1" x14ac:dyDescent="0.15">
      <c r="B10" s="40">
        <v>6</v>
      </c>
      <c r="C10" s="41"/>
      <c r="D10" s="41"/>
      <c r="E10" s="52" t="s">
        <v>18</v>
      </c>
      <c r="F10" s="53" t="s">
        <v>14</v>
      </c>
      <c r="G10" s="47">
        <f t="shared" ca="1" si="4"/>
        <v>44279</v>
      </c>
      <c r="H10" s="48">
        <f t="shared" ref="H10:H17" ca="1" si="5">TODAY()+27</f>
        <v>44307</v>
      </c>
      <c r="I10" s="1"/>
      <c r="J10" s="5"/>
      <c r="K10" s="38">
        <v>5</v>
      </c>
      <c r="L10" s="57">
        <v>5</v>
      </c>
      <c r="M10" s="9">
        <v>0.05</v>
      </c>
      <c r="N10" s="16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7"/>
    </row>
    <row r="11" spans="2:113" ht="18" customHeight="1" x14ac:dyDescent="0.15">
      <c r="B11" s="40">
        <v>7</v>
      </c>
      <c r="C11" s="41"/>
      <c r="D11" s="44"/>
      <c r="E11" s="54" t="s">
        <v>19</v>
      </c>
      <c r="F11" s="53" t="s">
        <v>14</v>
      </c>
      <c r="G11" s="47">
        <f t="shared" ca="1" si="4"/>
        <v>44279</v>
      </c>
      <c r="H11" s="48">
        <f t="shared" ca="1" si="5"/>
        <v>44307</v>
      </c>
      <c r="I11" s="1"/>
      <c r="J11" s="5"/>
      <c r="K11" s="38">
        <v>5</v>
      </c>
      <c r="L11" s="57">
        <v>5</v>
      </c>
      <c r="M11" s="9">
        <v>0.3</v>
      </c>
      <c r="N11" s="16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36"/>
      <c r="CI11" s="36"/>
      <c r="CJ11" s="36"/>
      <c r="CK11" s="36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7"/>
    </row>
    <row r="12" spans="2:113" ht="18" customHeight="1" x14ac:dyDescent="0.15">
      <c r="B12" s="40">
        <v>8</v>
      </c>
      <c r="C12" s="41"/>
      <c r="D12" s="44"/>
      <c r="E12" s="52" t="s">
        <v>20</v>
      </c>
      <c r="F12" s="53" t="s">
        <v>14</v>
      </c>
      <c r="G12" s="47">
        <f t="shared" ca="1" si="4"/>
        <v>44279</v>
      </c>
      <c r="H12" s="48">
        <f t="shared" ca="1" si="5"/>
        <v>44307</v>
      </c>
      <c r="I12" s="1"/>
      <c r="J12" s="5"/>
      <c r="K12" s="38">
        <v>5</v>
      </c>
      <c r="L12" s="49">
        <v>5</v>
      </c>
      <c r="M12" s="9">
        <v>0.5</v>
      </c>
      <c r="N12" s="18"/>
      <c r="O12" s="18"/>
      <c r="P12" s="18"/>
      <c r="Q12" s="18"/>
      <c r="R12" s="19"/>
      <c r="S12" s="19"/>
      <c r="T12" s="19"/>
      <c r="U12" s="19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9"/>
      <c r="CZ12" s="43"/>
      <c r="DA12" s="12"/>
      <c r="DB12" s="12"/>
      <c r="DC12" s="12"/>
      <c r="DD12" s="12"/>
      <c r="DE12" s="12"/>
      <c r="DF12" s="12"/>
      <c r="DG12" s="12"/>
      <c r="DH12" s="12"/>
      <c r="DI12" s="12"/>
    </row>
    <row r="13" spans="2:113" ht="18" customHeight="1" x14ac:dyDescent="0.15">
      <c r="B13" s="40">
        <v>9</v>
      </c>
      <c r="C13" s="41"/>
      <c r="D13" s="44"/>
      <c r="E13" s="54" t="s">
        <v>21</v>
      </c>
      <c r="F13" s="53" t="s">
        <v>14</v>
      </c>
      <c r="G13" s="47">
        <f t="shared" ca="1" si="4"/>
        <v>44279</v>
      </c>
      <c r="H13" s="48">
        <f t="shared" ca="1" si="5"/>
        <v>44307</v>
      </c>
      <c r="I13" s="1"/>
      <c r="J13" s="5"/>
      <c r="K13" s="38">
        <v>5</v>
      </c>
      <c r="L13" s="55">
        <v>5</v>
      </c>
      <c r="M13" s="9">
        <f t="shared" si="2"/>
        <v>1</v>
      </c>
      <c r="N13" s="17"/>
      <c r="O13" s="18"/>
      <c r="P13" s="18"/>
      <c r="Q13" s="18"/>
      <c r="R13" s="18"/>
      <c r="S13" s="18"/>
      <c r="T13" s="19"/>
      <c r="U13" s="19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9"/>
      <c r="CZ13" s="43"/>
      <c r="DA13" s="12"/>
      <c r="DB13" s="12"/>
      <c r="DC13" s="12"/>
      <c r="DD13" s="12"/>
      <c r="DE13" s="12"/>
      <c r="DF13" s="12"/>
      <c r="DG13" s="12"/>
      <c r="DH13" s="12"/>
      <c r="DI13" s="12"/>
    </row>
    <row r="14" spans="2:113" ht="18" customHeight="1" x14ac:dyDescent="0.15">
      <c r="B14" s="40">
        <v>10</v>
      </c>
      <c r="C14" s="41"/>
      <c r="D14" s="41"/>
      <c r="E14" s="52" t="s">
        <v>22</v>
      </c>
      <c r="F14" s="53" t="s">
        <v>14</v>
      </c>
      <c r="G14" s="47">
        <f t="shared" ca="1" si="4"/>
        <v>44279</v>
      </c>
      <c r="H14" s="48">
        <f t="shared" ca="1" si="5"/>
        <v>44307</v>
      </c>
      <c r="I14" s="1"/>
      <c r="J14" s="5"/>
      <c r="K14" s="38">
        <v>5</v>
      </c>
      <c r="L14" s="49">
        <v>1</v>
      </c>
      <c r="M14" s="9">
        <f t="shared" si="2"/>
        <v>0.2</v>
      </c>
      <c r="N14" s="24"/>
      <c r="O14" s="18"/>
      <c r="P14" s="18"/>
      <c r="Q14" s="24"/>
      <c r="R14" s="19"/>
      <c r="S14" s="19"/>
      <c r="T14" s="19"/>
      <c r="U14" s="19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9"/>
      <c r="CZ14" s="43"/>
      <c r="DA14" s="12"/>
      <c r="DB14" s="12"/>
      <c r="DC14" s="12"/>
      <c r="DD14" s="12"/>
      <c r="DE14" s="12"/>
      <c r="DF14" s="12"/>
      <c r="DG14" s="12"/>
      <c r="DH14" s="12"/>
      <c r="DI14" s="12"/>
    </row>
    <row r="15" spans="2:113" ht="18" customHeight="1" x14ac:dyDescent="0.15">
      <c r="B15" s="40">
        <v>11</v>
      </c>
      <c r="C15" s="41"/>
      <c r="D15" s="41"/>
      <c r="E15" s="54" t="s">
        <v>23</v>
      </c>
      <c r="F15" s="53" t="s">
        <v>14</v>
      </c>
      <c r="G15" s="47">
        <f t="shared" ca="1" si="4"/>
        <v>44279</v>
      </c>
      <c r="H15" s="48">
        <f t="shared" ca="1" si="5"/>
        <v>44307</v>
      </c>
      <c r="I15" s="1"/>
      <c r="J15" s="5"/>
      <c r="K15" s="38">
        <v>5</v>
      </c>
      <c r="L15" s="49">
        <v>1</v>
      </c>
      <c r="M15" s="9">
        <f t="shared" si="2"/>
        <v>0.2</v>
      </c>
      <c r="N15" s="18"/>
      <c r="O15" s="18"/>
      <c r="P15" s="18"/>
      <c r="Q15" s="18"/>
      <c r="R15" s="19"/>
      <c r="S15" s="19"/>
      <c r="T15" s="19"/>
      <c r="U15" s="19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18"/>
      <c r="BG15" s="18"/>
      <c r="BH15" s="18"/>
      <c r="BI15" s="18"/>
      <c r="BJ15" s="29"/>
      <c r="BK15" s="29"/>
      <c r="BL15" s="29"/>
      <c r="BM15" s="29"/>
      <c r="BN15" s="29"/>
      <c r="BO15" s="18"/>
      <c r="BP15" s="18"/>
      <c r="BQ15" s="31"/>
      <c r="BR15" s="31"/>
      <c r="BS15" s="31"/>
      <c r="BT15" s="31"/>
      <c r="BU15" s="31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9"/>
      <c r="CZ15" s="43"/>
      <c r="DA15" s="12"/>
      <c r="DB15" s="12"/>
      <c r="DC15" s="12"/>
      <c r="DD15" s="12"/>
      <c r="DE15" s="12"/>
      <c r="DF15" s="12"/>
      <c r="DG15" s="12"/>
      <c r="DH15" s="12"/>
      <c r="DI15" s="12"/>
    </row>
    <row r="16" spans="2:113" ht="18" customHeight="1" x14ac:dyDescent="0.15">
      <c r="B16" s="40">
        <v>12</v>
      </c>
      <c r="C16" s="41"/>
      <c r="D16" s="41"/>
      <c r="E16" s="52" t="s">
        <v>24</v>
      </c>
      <c r="F16" s="53" t="s">
        <v>14</v>
      </c>
      <c r="G16" s="47">
        <f t="shared" ca="1" si="4"/>
        <v>44279</v>
      </c>
      <c r="H16" s="48">
        <f t="shared" ca="1" si="5"/>
        <v>44307</v>
      </c>
      <c r="I16" s="1"/>
      <c r="J16" s="5"/>
      <c r="K16" s="38">
        <v>5</v>
      </c>
      <c r="L16" s="55">
        <v>4</v>
      </c>
      <c r="M16" s="9">
        <f t="shared" si="2"/>
        <v>0.8</v>
      </c>
      <c r="N16" s="32"/>
      <c r="O16" s="18"/>
      <c r="P16" s="18"/>
      <c r="Q16" s="18"/>
      <c r="R16" s="19"/>
      <c r="S16" s="19"/>
      <c r="T16" s="19"/>
      <c r="U16" s="19"/>
      <c r="V16" s="20"/>
      <c r="W16" s="20"/>
      <c r="X16" s="20"/>
      <c r="Y16" s="20"/>
      <c r="Z16" s="20"/>
      <c r="AA16" s="21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9"/>
      <c r="CZ16" s="43"/>
      <c r="DA16" s="12"/>
      <c r="DB16" s="12"/>
      <c r="DC16" s="12"/>
      <c r="DD16" s="12"/>
      <c r="DE16" s="12"/>
      <c r="DF16" s="12"/>
      <c r="DG16" s="12"/>
      <c r="DH16" s="12"/>
      <c r="DI16" s="12"/>
    </row>
    <row r="17" spans="2:113" ht="18" customHeight="1" x14ac:dyDescent="0.15">
      <c r="B17" s="40">
        <v>13</v>
      </c>
      <c r="C17" s="41"/>
      <c r="D17" s="44"/>
      <c r="E17" s="54" t="s">
        <v>25</v>
      </c>
      <c r="F17" s="53" t="s">
        <v>14</v>
      </c>
      <c r="G17" s="47">
        <f t="shared" ca="1" si="4"/>
        <v>44279</v>
      </c>
      <c r="H17" s="48">
        <f t="shared" ca="1" si="5"/>
        <v>44307</v>
      </c>
      <c r="I17" s="1"/>
      <c r="J17" s="5"/>
      <c r="K17" s="38">
        <v>5</v>
      </c>
      <c r="L17" s="49">
        <v>4</v>
      </c>
      <c r="M17" s="9">
        <v>0.2</v>
      </c>
      <c r="N17" s="17"/>
      <c r="O17" s="18"/>
      <c r="P17" s="18"/>
      <c r="Q17" s="18"/>
      <c r="R17" s="18"/>
      <c r="S17" s="18"/>
      <c r="T17" s="19"/>
      <c r="U17" s="19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9"/>
      <c r="CZ17" s="43"/>
      <c r="DA17" s="12"/>
      <c r="DB17" s="12"/>
      <c r="DC17" s="12"/>
      <c r="DD17" s="12"/>
      <c r="DE17" s="12"/>
      <c r="DF17" s="12"/>
      <c r="DG17" s="12"/>
      <c r="DH17" s="12"/>
      <c r="DI17" s="12"/>
    </row>
    <row r="18" spans="2:113" ht="18" customHeight="1" x14ac:dyDescent="0.15">
      <c r="B18" s="40">
        <v>14</v>
      </c>
      <c r="C18" s="41"/>
      <c r="D18" s="44"/>
      <c r="E18" s="52" t="s">
        <v>26</v>
      </c>
      <c r="F18" s="53" t="s">
        <v>14</v>
      </c>
      <c r="G18" s="47">
        <f ca="1">TODAY()+15</f>
        <v>44295</v>
      </c>
      <c r="H18" s="48">
        <f ca="1">TODAY()+20</f>
        <v>44300</v>
      </c>
      <c r="I18" s="2"/>
      <c r="J18" s="6"/>
      <c r="K18" s="38">
        <v>5</v>
      </c>
      <c r="L18" s="50">
        <v>1</v>
      </c>
      <c r="M18" s="9">
        <f>IF(K18&gt;0,L18/K18,"")</f>
        <v>0.2</v>
      </c>
      <c r="N18" s="16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36"/>
      <c r="CI18" s="36"/>
      <c r="CJ18" s="36"/>
      <c r="CK18" s="36"/>
      <c r="CL18" s="36"/>
      <c r="CM18" s="36"/>
      <c r="CN18" s="36"/>
      <c r="CO18" s="36"/>
      <c r="CP18" s="36"/>
      <c r="CQ18" s="36"/>
      <c r="CR18" s="36"/>
      <c r="CS18" s="36"/>
      <c r="CT18" s="36"/>
      <c r="CU18" s="36"/>
      <c r="CV18" s="36"/>
      <c r="CW18" s="36"/>
      <c r="CX18" s="36"/>
      <c r="CY18" s="36"/>
      <c r="CZ18" s="37"/>
    </row>
    <row r="19" spans="2:113" ht="18" customHeight="1" x14ac:dyDescent="0.15">
      <c r="B19" s="40">
        <v>15</v>
      </c>
      <c r="C19" s="41"/>
      <c r="D19" s="44"/>
      <c r="E19" s="54" t="s">
        <v>27</v>
      </c>
      <c r="F19" s="53" t="s">
        <v>14</v>
      </c>
      <c r="G19" s="47">
        <f t="shared" ca="1" si="4"/>
        <v>44279</v>
      </c>
      <c r="H19" s="48">
        <f t="shared" ca="1" si="3"/>
        <v>44285</v>
      </c>
      <c r="I19" s="2"/>
      <c r="J19" s="6"/>
      <c r="K19" s="38">
        <v>5</v>
      </c>
      <c r="L19" s="49">
        <v>1</v>
      </c>
      <c r="M19" s="9">
        <f>IF(K19&gt;0,L19/K19,"")</f>
        <v>0.2</v>
      </c>
      <c r="N19" s="18"/>
      <c r="O19" s="18"/>
      <c r="P19" s="18"/>
      <c r="Q19" s="18"/>
      <c r="R19" s="19"/>
      <c r="S19" s="19"/>
      <c r="T19" s="18"/>
      <c r="U19" s="18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9"/>
      <c r="CZ19" s="43"/>
      <c r="DA19" s="12"/>
      <c r="DB19" s="12"/>
      <c r="DC19" s="12"/>
      <c r="DD19" s="12"/>
      <c r="DE19" s="12"/>
      <c r="DF19" s="12"/>
      <c r="DG19" s="12"/>
      <c r="DH19" s="12"/>
      <c r="DI19" s="12"/>
    </row>
    <row r="20" spans="2:113" ht="18" customHeight="1" x14ac:dyDescent="0.15">
      <c r="B20" s="40">
        <v>16</v>
      </c>
      <c r="C20" s="41"/>
      <c r="D20" s="44"/>
      <c r="E20" s="52" t="s">
        <v>28</v>
      </c>
      <c r="F20" s="53" t="s">
        <v>14</v>
      </c>
      <c r="G20" s="47">
        <f ca="1">TODAY()-3</f>
        <v>44277</v>
      </c>
      <c r="H20" s="48">
        <f ca="1">TODAY()+3</f>
        <v>44283</v>
      </c>
      <c r="I20" s="2"/>
      <c r="J20" s="6"/>
      <c r="K20" s="38">
        <v>5</v>
      </c>
      <c r="L20" s="49"/>
      <c r="M20" s="9">
        <f t="shared" ref="M20:M37" si="6">IF(K20&gt;0,L20/K20,"")</f>
        <v>0</v>
      </c>
      <c r="N20" s="17"/>
      <c r="O20" s="18"/>
      <c r="P20" s="18"/>
      <c r="Q20" s="18"/>
      <c r="R20" s="19"/>
      <c r="S20" s="19"/>
      <c r="T20" s="19"/>
      <c r="U20" s="19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9"/>
      <c r="CZ20" s="43"/>
      <c r="DA20" s="12"/>
      <c r="DB20" s="12"/>
      <c r="DC20" s="12"/>
      <c r="DD20" s="12"/>
      <c r="DE20" s="12"/>
      <c r="DF20" s="12"/>
      <c r="DG20" s="12"/>
      <c r="DH20" s="12"/>
      <c r="DI20" s="12"/>
    </row>
    <row r="21" spans="2:113" ht="18" customHeight="1" x14ac:dyDescent="0.15">
      <c r="B21" s="40">
        <v>17</v>
      </c>
      <c r="C21" s="41"/>
      <c r="D21" s="44"/>
      <c r="E21" s="54" t="s">
        <v>29</v>
      </c>
      <c r="F21" s="53" t="s">
        <v>14</v>
      </c>
      <c r="G21" s="47">
        <f ca="1">TODAY()+3</f>
        <v>44283</v>
      </c>
      <c r="H21" s="48">
        <f ca="1">TODAY()+20</f>
        <v>44300</v>
      </c>
      <c r="I21" s="2"/>
      <c r="J21" s="6"/>
      <c r="K21" s="38">
        <v>5</v>
      </c>
      <c r="L21" s="55">
        <v>5</v>
      </c>
      <c r="M21" s="9">
        <f t="shared" si="6"/>
        <v>1</v>
      </c>
      <c r="N21" s="17"/>
      <c r="O21" s="18"/>
      <c r="P21" s="18"/>
      <c r="Q21" s="18"/>
      <c r="R21" s="18"/>
      <c r="S21" s="18"/>
      <c r="T21" s="19"/>
      <c r="U21" s="19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9"/>
      <c r="CZ21" s="43"/>
      <c r="DA21" s="12"/>
      <c r="DB21" s="12"/>
      <c r="DC21" s="12"/>
      <c r="DD21" s="12"/>
      <c r="DE21" s="12"/>
      <c r="DF21" s="12"/>
      <c r="DG21" s="12"/>
      <c r="DH21" s="12"/>
      <c r="DI21" s="12"/>
    </row>
    <row r="22" spans="2:113" ht="18" customHeight="1" x14ac:dyDescent="0.15">
      <c r="B22" s="40">
        <v>18</v>
      </c>
      <c r="C22" s="41"/>
      <c r="D22" s="44"/>
      <c r="E22" s="52" t="s">
        <v>30</v>
      </c>
      <c r="F22" s="53" t="s">
        <v>14</v>
      </c>
      <c r="G22" s="47">
        <f t="shared" ca="1" si="4"/>
        <v>44279</v>
      </c>
      <c r="H22" s="48">
        <f t="shared" ca="1" si="3"/>
        <v>44285</v>
      </c>
      <c r="I22" s="1"/>
      <c r="J22" s="5"/>
      <c r="K22" s="38">
        <v>5</v>
      </c>
      <c r="L22" s="49">
        <v>5</v>
      </c>
      <c r="M22" s="9">
        <f t="shared" si="6"/>
        <v>1</v>
      </c>
      <c r="N22" s="17"/>
      <c r="O22" s="18"/>
      <c r="P22" s="18"/>
      <c r="Q22" s="18"/>
      <c r="R22" s="18"/>
      <c r="S22" s="18"/>
      <c r="T22" s="19"/>
      <c r="U22" s="19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9"/>
      <c r="CZ22" s="43"/>
      <c r="DA22" s="12"/>
      <c r="DB22" s="12"/>
      <c r="DC22" s="12"/>
      <c r="DD22" s="12"/>
      <c r="DE22" s="12"/>
      <c r="DF22" s="12"/>
      <c r="DG22" s="12"/>
      <c r="DH22" s="12"/>
      <c r="DI22" s="12"/>
    </row>
    <row r="23" spans="2:113" ht="18" customHeight="1" x14ac:dyDescent="0.15">
      <c r="B23" s="40">
        <v>19</v>
      </c>
      <c r="C23" s="41"/>
      <c r="D23" s="44"/>
      <c r="E23" s="54" t="s">
        <v>31</v>
      </c>
      <c r="F23" s="53" t="s">
        <v>14</v>
      </c>
      <c r="G23" s="47">
        <f t="shared" ca="1" si="4"/>
        <v>44279</v>
      </c>
      <c r="H23" s="48">
        <f ca="1">TODAY()+40</f>
        <v>44320</v>
      </c>
      <c r="I23" s="2"/>
      <c r="J23" s="6"/>
      <c r="K23" s="38">
        <v>5</v>
      </c>
      <c r="L23" s="49">
        <v>5</v>
      </c>
      <c r="M23" s="9">
        <f t="shared" si="6"/>
        <v>1</v>
      </c>
      <c r="N23" s="18"/>
      <c r="O23" s="18"/>
      <c r="P23" s="18"/>
      <c r="Q23" s="18"/>
      <c r="R23" s="19"/>
      <c r="S23" s="19"/>
      <c r="T23" s="18"/>
      <c r="U23" s="18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9"/>
      <c r="CZ23" s="43"/>
      <c r="DA23" s="12"/>
      <c r="DB23" s="12"/>
      <c r="DC23" s="12"/>
      <c r="DD23" s="12"/>
      <c r="DE23" s="12"/>
      <c r="DF23" s="12"/>
      <c r="DG23" s="12"/>
      <c r="DH23" s="12"/>
      <c r="DI23" s="12"/>
    </row>
    <row r="24" spans="2:113" ht="18" customHeight="1" x14ac:dyDescent="0.15">
      <c r="B24" s="40">
        <v>20</v>
      </c>
      <c r="C24" s="41"/>
      <c r="D24" s="41"/>
      <c r="E24" s="52" t="s">
        <v>32</v>
      </c>
      <c r="F24" s="53" t="s">
        <v>14</v>
      </c>
      <c r="G24" s="47">
        <f t="shared" ca="1" si="4"/>
        <v>44279</v>
      </c>
      <c r="H24" s="48">
        <f t="shared" ca="1" si="3"/>
        <v>44285</v>
      </c>
      <c r="I24" s="1"/>
      <c r="J24" s="5"/>
      <c r="K24" s="38">
        <v>5</v>
      </c>
      <c r="L24" s="49">
        <v>1</v>
      </c>
      <c r="M24" s="9">
        <f>IF(K24&gt;0,L24/K24,"")</f>
        <v>0.2</v>
      </c>
      <c r="N24" s="18"/>
      <c r="O24" s="18"/>
      <c r="P24" s="18"/>
      <c r="Q24" s="18"/>
      <c r="R24" s="19"/>
      <c r="S24" s="19"/>
      <c r="T24" s="18"/>
      <c r="U24" s="18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9"/>
      <c r="CZ24" s="43"/>
      <c r="DA24" s="12"/>
      <c r="DB24" s="12"/>
      <c r="DC24" s="12"/>
      <c r="DD24" s="12"/>
      <c r="DE24" s="12"/>
      <c r="DF24" s="12"/>
      <c r="DG24" s="12"/>
      <c r="DH24" s="12"/>
      <c r="DI24" s="12"/>
    </row>
    <row r="25" spans="2:113" ht="18" customHeight="1" x14ac:dyDescent="0.15">
      <c r="B25" s="40">
        <v>21</v>
      </c>
      <c r="C25" s="41"/>
      <c r="D25" s="44"/>
      <c r="E25" s="54" t="s">
        <v>33</v>
      </c>
      <c r="F25" s="53" t="s">
        <v>14</v>
      </c>
      <c r="G25" s="47">
        <f ca="1">TODAY()+5</f>
        <v>44285</v>
      </c>
      <c r="H25" s="48">
        <f ca="1">TODAY()+10</f>
        <v>44290</v>
      </c>
      <c r="I25" s="1"/>
      <c r="J25" s="5"/>
      <c r="K25" s="38">
        <v>5</v>
      </c>
      <c r="L25" s="49">
        <v>1</v>
      </c>
      <c r="M25" s="9">
        <f t="shared" si="6"/>
        <v>0.2</v>
      </c>
      <c r="N25" s="18"/>
      <c r="O25" s="18"/>
      <c r="P25" s="18"/>
      <c r="Q25" s="18"/>
      <c r="R25" s="19"/>
      <c r="S25" s="19"/>
      <c r="T25" s="18"/>
      <c r="U25" s="18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  <c r="CY25" s="19"/>
      <c r="CZ25" s="43"/>
      <c r="DA25" s="12"/>
      <c r="DB25" s="12"/>
      <c r="DC25" s="12"/>
      <c r="DD25" s="12"/>
      <c r="DE25" s="12"/>
      <c r="DF25" s="12"/>
      <c r="DG25" s="12"/>
      <c r="DH25" s="12"/>
      <c r="DI25" s="12"/>
    </row>
    <row r="26" spans="2:113" ht="18" customHeight="1" x14ac:dyDescent="0.15">
      <c r="B26" s="40">
        <v>22</v>
      </c>
      <c r="C26" s="41"/>
      <c r="D26" s="44"/>
      <c r="E26" s="52" t="s">
        <v>34</v>
      </c>
      <c r="F26" s="53" t="s">
        <v>14</v>
      </c>
      <c r="G26" s="47">
        <f ca="1">TODAY()</f>
        <v>44280</v>
      </c>
      <c r="H26" s="48">
        <f t="shared" ca="1" si="3"/>
        <v>44285</v>
      </c>
      <c r="I26" s="1"/>
      <c r="J26" s="5"/>
      <c r="K26" s="38">
        <v>5</v>
      </c>
      <c r="L26" s="49">
        <v>5</v>
      </c>
      <c r="M26" s="9">
        <f t="shared" si="6"/>
        <v>1</v>
      </c>
      <c r="N26" s="18"/>
      <c r="O26" s="18"/>
      <c r="P26" s="18"/>
      <c r="Q26" s="18"/>
      <c r="R26" s="19"/>
      <c r="S26" s="19"/>
      <c r="T26" s="18"/>
      <c r="U26" s="18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9"/>
      <c r="CZ26" s="43"/>
      <c r="DA26" s="12"/>
      <c r="DB26" s="12"/>
      <c r="DC26" s="12"/>
      <c r="DD26" s="12"/>
      <c r="DE26" s="12"/>
      <c r="DF26" s="12"/>
      <c r="DG26" s="12"/>
      <c r="DH26" s="12"/>
      <c r="DI26" s="12"/>
    </row>
    <row r="27" spans="2:113" ht="18" customHeight="1" x14ac:dyDescent="0.15">
      <c r="B27" s="40">
        <v>23</v>
      </c>
      <c r="C27" s="41"/>
      <c r="D27" s="44"/>
      <c r="E27" s="54" t="s">
        <v>35</v>
      </c>
      <c r="F27" s="53" t="s">
        <v>14</v>
      </c>
      <c r="G27" s="47">
        <f t="shared" ref="G27:G28" ca="1" si="7">TODAY()</f>
        <v>44280</v>
      </c>
      <c r="H27" s="48">
        <f t="shared" ca="1" si="3"/>
        <v>44285</v>
      </c>
      <c r="I27" s="2"/>
      <c r="J27" s="6"/>
      <c r="K27" s="38">
        <v>5</v>
      </c>
      <c r="L27" s="49">
        <v>5</v>
      </c>
      <c r="M27" s="9">
        <f t="shared" si="6"/>
        <v>1</v>
      </c>
      <c r="N27" s="18"/>
      <c r="O27" s="18"/>
      <c r="P27" s="18"/>
      <c r="Q27" s="18"/>
      <c r="R27" s="19"/>
      <c r="S27" s="19"/>
      <c r="T27" s="19"/>
      <c r="U27" s="19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29"/>
      <c r="BY27" s="29"/>
      <c r="BZ27" s="29"/>
      <c r="CA27" s="29"/>
      <c r="CB27" s="29"/>
      <c r="CC27" s="18"/>
      <c r="CD27" s="18"/>
      <c r="CE27" s="29"/>
      <c r="CF27" s="29"/>
      <c r="CG27" s="29"/>
      <c r="CH27" s="29"/>
      <c r="CI27" s="29"/>
      <c r="CJ27" s="18"/>
      <c r="CK27" s="18"/>
      <c r="CL27" s="29"/>
      <c r="CM27" s="29"/>
      <c r="CN27" s="29"/>
      <c r="CO27" s="29"/>
      <c r="CP27" s="29"/>
      <c r="CQ27" s="18"/>
      <c r="CR27" s="18"/>
      <c r="CS27" s="31"/>
      <c r="CT27" s="31"/>
      <c r="CU27" s="31"/>
      <c r="CV27" s="31"/>
      <c r="CW27" s="31"/>
      <c r="CX27" s="18"/>
      <c r="CY27" s="19"/>
      <c r="CZ27" s="43"/>
      <c r="DA27" s="12"/>
      <c r="DB27" s="12"/>
      <c r="DC27" s="12"/>
      <c r="DD27" s="12"/>
      <c r="DE27" s="12"/>
      <c r="DF27" s="12"/>
      <c r="DG27" s="12"/>
      <c r="DH27" s="12"/>
      <c r="DI27" s="12"/>
    </row>
    <row r="28" spans="2:113" ht="18" customHeight="1" x14ac:dyDescent="0.15">
      <c r="B28" s="40">
        <v>24</v>
      </c>
      <c r="C28" s="41"/>
      <c r="D28" s="44"/>
      <c r="E28" s="52" t="s">
        <v>36</v>
      </c>
      <c r="F28" s="53" t="s">
        <v>14</v>
      </c>
      <c r="G28" s="47">
        <f t="shared" ca="1" si="7"/>
        <v>44280</v>
      </c>
      <c r="H28" s="48">
        <f t="shared" ca="1" si="3"/>
        <v>44285</v>
      </c>
      <c r="I28" s="1"/>
      <c r="J28" s="5"/>
      <c r="K28" s="38">
        <v>5</v>
      </c>
      <c r="L28" s="55"/>
      <c r="M28" s="9">
        <f t="shared" si="6"/>
        <v>0</v>
      </c>
      <c r="N28" s="18"/>
      <c r="O28" s="18"/>
      <c r="P28" s="18"/>
      <c r="Q28" s="18"/>
      <c r="R28" s="19"/>
      <c r="S28" s="19"/>
      <c r="T28" s="19"/>
      <c r="U28" s="19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9"/>
      <c r="BG28" s="29"/>
      <c r="BH28" s="18"/>
      <c r="BI28" s="18"/>
      <c r="BJ28" s="29"/>
      <c r="BK28" s="29"/>
      <c r="BL28" s="29"/>
      <c r="BM28" s="29"/>
      <c r="BN28" s="29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9"/>
      <c r="CZ28" s="43"/>
      <c r="DA28" s="12"/>
      <c r="DB28" s="12"/>
      <c r="DC28" s="12"/>
      <c r="DD28" s="12"/>
      <c r="DE28" s="12"/>
      <c r="DF28" s="12"/>
      <c r="DG28" s="12"/>
      <c r="DH28" s="12"/>
      <c r="DI28" s="12"/>
    </row>
    <row r="29" spans="2:113" ht="18" customHeight="1" x14ac:dyDescent="0.15">
      <c r="B29" s="40">
        <v>25</v>
      </c>
      <c r="C29" s="41"/>
      <c r="D29" s="44"/>
      <c r="E29" s="54" t="s">
        <v>37</v>
      </c>
      <c r="F29" s="53" t="s">
        <v>14</v>
      </c>
      <c r="G29" s="47">
        <f t="shared" ca="1" si="4"/>
        <v>44279</v>
      </c>
      <c r="H29" s="48">
        <f t="shared" ca="1" si="3"/>
        <v>44285</v>
      </c>
      <c r="I29" s="1"/>
      <c r="J29" s="5"/>
      <c r="K29" s="38">
        <v>5</v>
      </c>
      <c r="L29" s="49">
        <v>5</v>
      </c>
      <c r="M29" s="9">
        <f t="shared" si="6"/>
        <v>1</v>
      </c>
      <c r="N29" s="18"/>
      <c r="O29" s="18"/>
      <c r="P29" s="18"/>
      <c r="Q29" s="18"/>
      <c r="R29" s="19"/>
      <c r="S29" s="19"/>
      <c r="T29" s="25"/>
      <c r="U29" s="25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6"/>
      <c r="BG29" s="26"/>
      <c r="BH29" s="18"/>
      <c r="BI29" s="18"/>
      <c r="BJ29" s="26"/>
      <c r="BK29" s="26"/>
      <c r="BL29" s="26"/>
      <c r="BM29" s="26"/>
      <c r="BN29" s="26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9"/>
      <c r="CZ29" s="43"/>
      <c r="DA29" s="12"/>
      <c r="DB29" s="12"/>
      <c r="DC29" s="12"/>
      <c r="DD29" s="12"/>
      <c r="DE29" s="12"/>
      <c r="DF29" s="12"/>
      <c r="DG29" s="12"/>
      <c r="DH29" s="12"/>
      <c r="DI29" s="12"/>
    </row>
    <row r="30" spans="2:113" ht="18" customHeight="1" x14ac:dyDescent="0.15">
      <c r="B30" s="40">
        <v>26</v>
      </c>
      <c r="C30" s="41"/>
      <c r="D30" s="41"/>
      <c r="E30" s="52" t="s">
        <v>38</v>
      </c>
      <c r="F30" s="53" t="s">
        <v>14</v>
      </c>
      <c r="G30" s="47">
        <f ca="1">TODAY()+30</f>
        <v>44310</v>
      </c>
      <c r="H30" s="48">
        <f ca="1">TODAY()+35</f>
        <v>44315</v>
      </c>
      <c r="I30" s="2"/>
      <c r="J30" s="6"/>
      <c r="K30" s="38">
        <v>5</v>
      </c>
      <c r="L30" s="55"/>
      <c r="M30" s="9">
        <f t="shared" si="6"/>
        <v>0</v>
      </c>
      <c r="N30" s="17"/>
      <c r="O30" s="18"/>
      <c r="P30" s="18"/>
      <c r="Q30" s="18"/>
      <c r="R30" s="18"/>
      <c r="S30" s="18"/>
      <c r="T30" s="19"/>
      <c r="U30" s="19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9"/>
      <c r="CZ30" s="43"/>
      <c r="DA30" s="12"/>
      <c r="DB30" s="12"/>
      <c r="DC30" s="12"/>
      <c r="DD30" s="12"/>
      <c r="DE30" s="12"/>
      <c r="DF30" s="12"/>
      <c r="DG30" s="12"/>
      <c r="DH30" s="12"/>
      <c r="DI30" s="12"/>
    </row>
    <row r="31" spans="2:113" ht="18" customHeight="1" x14ac:dyDescent="0.15">
      <c r="B31" s="40">
        <v>27</v>
      </c>
      <c r="C31" s="41"/>
      <c r="D31" s="44"/>
      <c r="E31" s="54" t="s">
        <v>39</v>
      </c>
      <c r="F31" s="53" t="s">
        <v>14</v>
      </c>
      <c r="G31" s="47">
        <f ca="1">TODAY()-1</f>
        <v>44279</v>
      </c>
      <c r="H31" s="48">
        <f ca="1">TODAY()+5</f>
        <v>44285</v>
      </c>
      <c r="I31" s="63"/>
      <c r="J31" s="4"/>
      <c r="K31" s="38">
        <v>5</v>
      </c>
      <c r="L31" s="56"/>
      <c r="M31" s="9">
        <f t="shared" si="6"/>
        <v>0</v>
      </c>
      <c r="N31" s="18"/>
      <c r="O31" s="18"/>
      <c r="P31" s="18"/>
      <c r="Q31" s="18"/>
      <c r="R31" s="19"/>
      <c r="S31" s="19"/>
      <c r="T31" s="25"/>
      <c r="U31" s="25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9"/>
      <c r="CZ31" s="43"/>
      <c r="DA31" s="12"/>
      <c r="DB31" s="12"/>
      <c r="DC31" s="12"/>
      <c r="DD31" s="12"/>
      <c r="DE31" s="12"/>
      <c r="DF31" s="12"/>
      <c r="DG31" s="12"/>
      <c r="DH31" s="12"/>
      <c r="DI31" s="12"/>
    </row>
    <row r="32" spans="2:113" ht="18" customHeight="1" x14ac:dyDescent="0.15">
      <c r="B32" s="40">
        <v>28</v>
      </c>
      <c r="C32" s="41"/>
      <c r="D32" s="44"/>
      <c r="E32" s="52" t="s">
        <v>40</v>
      </c>
      <c r="F32" s="53"/>
      <c r="G32" s="47">
        <f ca="1">TODAY()-13</f>
        <v>44267</v>
      </c>
      <c r="H32" s="48">
        <f ca="1">TODAY()+18</f>
        <v>44298</v>
      </c>
      <c r="I32" s="63"/>
      <c r="J32" s="4"/>
      <c r="K32" s="38">
        <v>20</v>
      </c>
      <c r="L32" s="56">
        <v>15</v>
      </c>
      <c r="M32" s="9">
        <f t="shared" si="6"/>
        <v>0.75</v>
      </c>
      <c r="N32" s="24"/>
      <c r="O32" s="18"/>
      <c r="P32" s="18"/>
      <c r="Q32" s="24"/>
      <c r="R32" s="19"/>
      <c r="S32" s="19"/>
      <c r="T32" s="19"/>
      <c r="U32" s="19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1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9"/>
      <c r="CZ32" s="43"/>
      <c r="DA32" s="12"/>
      <c r="DB32" s="12"/>
      <c r="DC32" s="12"/>
      <c r="DD32" s="12"/>
      <c r="DE32" s="12"/>
      <c r="DF32" s="12"/>
      <c r="DG32" s="12"/>
      <c r="DH32" s="12"/>
      <c r="DI32" s="12"/>
    </row>
    <row r="33" spans="2:113" ht="18" customHeight="1" x14ac:dyDescent="0.15">
      <c r="B33" s="40">
        <v>29</v>
      </c>
      <c r="C33" s="41"/>
      <c r="D33" s="41"/>
      <c r="E33" s="54" t="s">
        <v>41</v>
      </c>
      <c r="F33" s="53" t="s">
        <v>14</v>
      </c>
      <c r="G33" s="47">
        <f t="shared" ca="1" si="4"/>
        <v>44279</v>
      </c>
      <c r="H33" s="48">
        <f t="shared" ca="1" si="3"/>
        <v>44285</v>
      </c>
      <c r="I33" s="2"/>
      <c r="J33" s="6"/>
      <c r="K33" s="38">
        <v>5</v>
      </c>
      <c r="L33" s="55">
        <v>3</v>
      </c>
      <c r="M33" s="9">
        <f t="shared" si="6"/>
        <v>0.6</v>
      </c>
      <c r="N33" s="18"/>
      <c r="O33" s="18"/>
      <c r="P33" s="18"/>
      <c r="Q33" s="18"/>
      <c r="R33" s="19"/>
      <c r="S33" s="19"/>
      <c r="T33" s="19"/>
      <c r="U33" s="19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9"/>
      <c r="CZ33" s="43"/>
      <c r="DA33" s="12"/>
      <c r="DB33" s="12"/>
      <c r="DC33" s="12"/>
      <c r="DD33" s="12"/>
      <c r="DE33" s="12"/>
      <c r="DF33" s="12"/>
      <c r="DG33" s="12"/>
      <c r="DH33" s="12"/>
      <c r="DI33" s="12"/>
    </row>
    <row r="34" spans="2:113" ht="18" customHeight="1" x14ac:dyDescent="0.15">
      <c r="B34" s="40">
        <v>30</v>
      </c>
      <c r="C34" s="41"/>
      <c r="D34" s="41"/>
      <c r="E34" s="52" t="s">
        <v>42</v>
      </c>
      <c r="F34" s="53" t="s">
        <v>14</v>
      </c>
      <c r="G34" s="47">
        <f t="shared" ca="1" si="4"/>
        <v>44279</v>
      </c>
      <c r="H34" s="48">
        <f t="shared" ca="1" si="3"/>
        <v>44285</v>
      </c>
      <c r="I34" s="2"/>
      <c r="J34" s="6"/>
      <c r="K34" s="38">
        <v>5</v>
      </c>
      <c r="L34" s="49">
        <v>1</v>
      </c>
      <c r="M34" s="9">
        <f t="shared" si="6"/>
        <v>0.2</v>
      </c>
      <c r="N34" s="32"/>
      <c r="O34" s="18"/>
      <c r="P34" s="18"/>
      <c r="Q34" s="18"/>
      <c r="R34" s="19"/>
      <c r="S34" s="19"/>
      <c r="T34" s="19"/>
      <c r="U34" s="19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9"/>
      <c r="CZ34" s="43"/>
      <c r="DA34" s="12"/>
      <c r="DB34" s="12"/>
      <c r="DC34" s="12"/>
      <c r="DD34" s="12"/>
      <c r="DE34" s="12"/>
      <c r="DF34" s="12"/>
      <c r="DG34" s="12"/>
      <c r="DH34" s="12"/>
      <c r="DI34" s="12"/>
    </row>
    <row r="35" spans="2:113" ht="18" customHeight="1" x14ac:dyDescent="0.15">
      <c r="B35" s="40">
        <v>31</v>
      </c>
      <c r="C35" s="41"/>
      <c r="D35" s="41"/>
      <c r="E35" s="54" t="s">
        <v>43</v>
      </c>
      <c r="F35" s="53" t="s">
        <v>14</v>
      </c>
      <c r="G35" s="47">
        <f t="shared" ca="1" si="4"/>
        <v>44279</v>
      </c>
      <c r="H35" s="48">
        <f t="shared" ca="1" si="3"/>
        <v>44285</v>
      </c>
      <c r="I35" s="2"/>
      <c r="J35" s="6"/>
      <c r="K35" s="38">
        <v>5</v>
      </c>
      <c r="L35" s="55"/>
      <c r="M35" s="9">
        <f t="shared" si="6"/>
        <v>0</v>
      </c>
      <c r="N35" s="18"/>
      <c r="O35" s="18"/>
      <c r="P35" s="18"/>
      <c r="Q35" s="18"/>
      <c r="R35" s="19"/>
      <c r="S35" s="19"/>
      <c r="T35" s="30"/>
      <c r="U35" s="30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9"/>
      <c r="CZ35" s="43"/>
      <c r="DA35" s="12"/>
      <c r="DB35" s="12"/>
      <c r="DC35" s="12"/>
      <c r="DD35" s="12"/>
      <c r="DE35" s="12"/>
      <c r="DF35" s="12"/>
      <c r="DG35" s="12"/>
      <c r="DH35" s="12"/>
      <c r="DI35" s="12"/>
    </row>
    <row r="36" spans="2:113" ht="18" customHeight="1" x14ac:dyDescent="0.15">
      <c r="B36" s="40">
        <v>32</v>
      </c>
      <c r="C36" s="41"/>
      <c r="D36" s="44"/>
      <c r="E36" s="52" t="s">
        <v>44</v>
      </c>
      <c r="F36" s="53" t="s">
        <v>14</v>
      </c>
      <c r="G36" s="47">
        <f t="shared" ca="1" si="4"/>
        <v>44279</v>
      </c>
      <c r="H36" s="48">
        <f t="shared" ca="1" si="3"/>
        <v>44285</v>
      </c>
      <c r="I36" s="2"/>
      <c r="J36" s="6"/>
      <c r="K36" s="38">
        <v>5</v>
      </c>
      <c r="L36" s="49">
        <v>2</v>
      </c>
      <c r="M36" s="9">
        <f t="shared" si="6"/>
        <v>0.4</v>
      </c>
      <c r="N36" s="17"/>
      <c r="O36" s="18"/>
      <c r="P36" s="18"/>
      <c r="Q36" s="18"/>
      <c r="R36" s="19"/>
      <c r="S36" s="19"/>
      <c r="T36" s="19"/>
      <c r="U36" s="19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9"/>
      <c r="CZ36" s="43"/>
      <c r="DA36" s="12"/>
      <c r="DB36" s="12"/>
      <c r="DC36" s="12"/>
      <c r="DD36" s="12"/>
      <c r="DE36" s="12"/>
      <c r="DF36" s="12"/>
      <c r="DG36" s="12"/>
      <c r="DH36" s="12"/>
      <c r="DI36" s="12"/>
    </row>
    <row r="37" spans="2:113" ht="18" customHeight="1" x14ac:dyDescent="0.15">
      <c r="B37" s="40">
        <v>33</v>
      </c>
      <c r="C37" s="41"/>
      <c r="D37" s="44"/>
      <c r="E37" s="54" t="s">
        <v>45</v>
      </c>
      <c r="F37" s="53" t="s">
        <v>14</v>
      </c>
      <c r="G37" s="47">
        <f ca="1">TODAY()-28</f>
        <v>44252</v>
      </c>
      <c r="H37" s="48">
        <f ca="1">TODAY()</f>
        <v>44280</v>
      </c>
      <c r="I37" s="2"/>
      <c r="J37" s="6"/>
      <c r="K37" s="38">
        <v>10</v>
      </c>
      <c r="L37" s="55">
        <v>1.08</v>
      </c>
      <c r="M37" s="9">
        <f t="shared" si="6"/>
        <v>0.10800000000000001</v>
      </c>
      <c r="N37" s="22"/>
      <c r="O37" s="22"/>
      <c r="P37" s="22"/>
      <c r="Q37" s="22"/>
      <c r="R37" s="19"/>
      <c r="S37" s="19"/>
      <c r="T37" s="19"/>
      <c r="U37" s="19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9"/>
      <c r="CZ37" s="43"/>
      <c r="DA37" s="12"/>
      <c r="DB37" s="12"/>
      <c r="DC37" s="12"/>
      <c r="DD37" s="12"/>
      <c r="DE37" s="12"/>
      <c r="DF37" s="12"/>
      <c r="DG37" s="12"/>
      <c r="DH37" s="12"/>
      <c r="DI37" s="12"/>
    </row>
    <row r="38" spans="2:113" ht="18" customHeight="1" x14ac:dyDescent="0.15">
      <c r="B38" s="40">
        <v>34</v>
      </c>
      <c r="C38" s="41"/>
      <c r="D38" s="44"/>
      <c r="E38" s="52" t="s">
        <v>46</v>
      </c>
      <c r="F38" s="53" t="s">
        <v>14</v>
      </c>
      <c r="G38" s="47">
        <f ca="1">TODAY()</f>
        <v>44280</v>
      </c>
      <c r="H38" s="48">
        <f ca="1">TODAY()+40</f>
        <v>44320</v>
      </c>
      <c r="I38" s="2"/>
      <c r="J38" s="6"/>
      <c r="K38" s="38">
        <v>10</v>
      </c>
      <c r="L38" s="55">
        <v>9.9</v>
      </c>
      <c r="M38" s="9">
        <v>1</v>
      </c>
      <c r="N38" s="22"/>
      <c r="O38" s="22"/>
      <c r="P38" s="22"/>
      <c r="Q38" s="22"/>
      <c r="R38" s="19"/>
      <c r="S38" s="19"/>
      <c r="T38" s="23"/>
      <c r="U38" s="23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9"/>
      <c r="CZ38" s="43"/>
      <c r="DA38" s="12"/>
      <c r="DB38" s="12"/>
      <c r="DC38" s="12"/>
      <c r="DD38" s="12"/>
      <c r="DE38" s="12"/>
      <c r="DF38" s="12"/>
      <c r="DG38" s="12"/>
      <c r="DH38" s="12"/>
      <c r="DI38" s="12"/>
    </row>
    <row r="39" spans="2:113" ht="18" customHeight="1" x14ac:dyDescent="0.15">
      <c r="B39" s="40">
        <v>35</v>
      </c>
      <c r="C39" s="41"/>
      <c r="D39" s="44"/>
      <c r="E39" s="54" t="s">
        <v>47</v>
      </c>
      <c r="F39" s="53"/>
      <c r="G39" s="47">
        <f ca="1">TODAY()</f>
        <v>44280</v>
      </c>
      <c r="H39" s="48">
        <f ca="1">TODAY()+5</f>
        <v>44285</v>
      </c>
      <c r="I39" s="1"/>
      <c r="J39" s="5"/>
      <c r="K39" s="38">
        <v>5</v>
      </c>
      <c r="L39" s="49">
        <v>5</v>
      </c>
      <c r="M39" s="9">
        <f>IF(K39&gt;0,L39/K39,"")</f>
        <v>1</v>
      </c>
      <c r="N39" s="17"/>
      <c r="O39" s="18"/>
      <c r="P39" s="18"/>
      <c r="Q39" s="18"/>
      <c r="R39" s="18"/>
      <c r="S39" s="18"/>
      <c r="T39" s="19"/>
      <c r="U39" s="19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9"/>
      <c r="CZ39" s="43"/>
      <c r="DA39" s="12"/>
      <c r="DB39" s="12"/>
      <c r="DC39" s="12"/>
      <c r="DD39" s="12"/>
      <c r="DE39" s="12"/>
      <c r="DF39" s="12"/>
      <c r="DG39" s="12"/>
      <c r="DH39" s="12"/>
      <c r="DI39" s="12"/>
    </row>
    <row r="40" spans="2:113" ht="18" customHeight="1" x14ac:dyDescent="0.15">
      <c r="B40" s="40">
        <v>36</v>
      </c>
      <c r="C40" s="41"/>
      <c r="D40" s="44"/>
      <c r="E40" s="52" t="s">
        <v>48</v>
      </c>
      <c r="F40" s="53"/>
      <c r="G40" s="47">
        <f ca="1">TODAY()+6</f>
        <v>44286</v>
      </c>
      <c r="H40" s="48">
        <f ca="1">TODAY()+11</f>
        <v>44291</v>
      </c>
      <c r="I40" s="1"/>
      <c r="J40" s="5"/>
      <c r="K40" s="38">
        <v>5</v>
      </c>
      <c r="L40" s="49">
        <v>3</v>
      </c>
      <c r="M40" s="9">
        <f t="shared" ref="M40" si="8">IF(K40&gt;0,L40/K40,"")</f>
        <v>0.6</v>
      </c>
      <c r="N40" s="18"/>
      <c r="O40" s="18"/>
      <c r="P40" s="18"/>
      <c r="Q40" s="18"/>
      <c r="R40" s="19"/>
      <c r="S40" s="19"/>
      <c r="T40" s="19"/>
      <c r="U40" s="19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9"/>
      <c r="BG40" s="29"/>
      <c r="BH40" s="18"/>
      <c r="BI40" s="18"/>
      <c r="BJ40" s="29"/>
      <c r="BK40" s="29"/>
      <c r="BL40" s="29"/>
      <c r="BM40" s="29"/>
      <c r="BN40" s="29"/>
      <c r="BO40" s="18"/>
      <c r="BP40" s="18"/>
      <c r="BQ40" s="31"/>
      <c r="BR40" s="31"/>
      <c r="BS40" s="31"/>
      <c r="BT40" s="31"/>
      <c r="BU40" s="31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9"/>
      <c r="CZ40" s="43"/>
      <c r="DA40" s="12"/>
      <c r="DB40" s="12"/>
      <c r="DC40" s="12"/>
      <c r="DD40" s="12"/>
      <c r="DE40" s="12"/>
      <c r="DF40" s="12"/>
      <c r="DG40" s="12"/>
      <c r="DH40" s="12"/>
      <c r="DI40" s="12"/>
    </row>
    <row r="41" spans="2:113" ht="18" customHeight="1" x14ac:dyDescent="0.15">
      <c r="B41" s="40">
        <v>37</v>
      </c>
      <c r="C41" s="41"/>
      <c r="D41" s="44"/>
      <c r="E41" s="54" t="s">
        <v>49</v>
      </c>
      <c r="F41" s="53"/>
      <c r="G41" s="47">
        <f ca="1">TODAY()+12</f>
        <v>44292</v>
      </c>
      <c r="H41" s="48">
        <f ca="1">TODAY()+16</f>
        <v>44296</v>
      </c>
      <c r="I41" s="1"/>
      <c r="J41" s="5"/>
      <c r="K41" s="38">
        <v>5</v>
      </c>
      <c r="L41" s="49">
        <v>1</v>
      </c>
      <c r="M41" s="9">
        <f>IF(K41&gt;0,L41/K41,"")</f>
        <v>0.2</v>
      </c>
      <c r="N41" s="18"/>
      <c r="O41" s="24"/>
      <c r="P41" s="24"/>
      <c r="Q41" s="24"/>
      <c r="R41" s="19"/>
      <c r="S41" s="19"/>
      <c r="T41" s="19"/>
      <c r="U41" s="19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/>
      <c r="CO41" s="18"/>
      <c r="CP41" s="18"/>
      <c r="CQ41" s="18"/>
      <c r="CR41" s="18"/>
      <c r="CS41" s="18"/>
      <c r="CT41" s="18"/>
      <c r="CU41" s="18"/>
      <c r="CV41" s="18"/>
      <c r="CW41" s="18"/>
      <c r="CX41" s="18"/>
      <c r="CY41" s="19"/>
      <c r="CZ41" s="43"/>
      <c r="DA41" s="12"/>
      <c r="DB41" s="12"/>
      <c r="DC41" s="12"/>
      <c r="DD41" s="12"/>
      <c r="DE41" s="12"/>
      <c r="DF41" s="12"/>
      <c r="DG41" s="12"/>
      <c r="DH41" s="12"/>
      <c r="DI41" s="12"/>
    </row>
    <row r="42" spans="2:113" ht="18" customHeight="1" x14ac:dyDescent="0.15">
      <c r="B42" s="40">
        <v>38</v>
      </c>
      <c r="C42" s="41"/>
      <c r="D42" s="44"/>
      <c r="E42" s="52" t="s">
        <v>50</v>
      </c>
      <c r="F42" s="53"/>
      <c r="G42" s="47">
        <f ca="1">TODAY()+17</f>
        <v>44297</v>
      </c>
      <c r="H42" s="48">
        <f ca="1">TODAY()+20</f>
        <v>44300</v>
      </c>
      <c r="I42" s="2"/>
      <c r="J42" s="6"/>
      <c r="K42" s="38">
        <v>5</v>
      </c>
      <c r="L42" s="49"/>
      <c r="M42" s="9">
        <f t="shared" ref="M42" si="9">IF(K42&gt;0,L42/K42,"")</f>
        <v>0</v>
      </c>
      <c r="N42" s="18"/>
      <c r="O42" s="18"/>
      <c r="P42" s="18"/>
      <c r="Q42" s="18"/>
      <c r="R42" s="19"/>
      <c r="S42" s="19"/>
      <c r="T42" s="25"/>
      <c r="U42" s="25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9"/>
      <c r="CZ42" s="43"/>
      <c r="DA42" s="12"/>
      <c r="DB42" s="12"/>
      <c r="DC42" s="12"/>
      <c r="DD42" s="12"/>
      <c r="DE42" s="12"/>
      <c r="DF42" s="12"/>
      <c r="DG42" s="12"/>
      <c r="DH42" s="12"/>
      <c r="DI42" s="12"/>
    </row>
    <row r="43" spans="2:113" ht="18" customHeight="1" x14ac:dyDescent="0.15">
      <c r="B43" s="40">
        <v>39</v>
      </c>
      <c r="C43" s="41"/>
      <c r="D43" s="44"/>
      <c r="E43" s="54" t="s">
        <v>51</v>
      </c>
      <c r="F43" s="53"/>
      <c r="G43" s="47"/>
      <c r="H43" s="48"/>
      <c r="I43" s="1"/>
      <c r="J43" s="5"/>
      <c r="K43" s="38"/>
      <c r="L43" s="49"/>
      <c r="M43" s="9" t="str">
        <f t="shared" si="2"/>
        <v/>
      </c>
      <c r="N43" s="18"/>
      <c r="O43" s="18"/>
      <c r="P43" s="18"/>
      <c r="Q43" s="18"/>
      <c r="R43" s="19"/>
      <c r="S43" s="19"/>
      <c r="T43" s="25"/>
      <c r="U43" s="25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18"/>
      <c r="BG43" s="18"/>
      <c r="BH43" s="18"/>
      <c r="BI43" s="18"/>
      <c r="BJ43" s="18"/>
      <c r="BK43" s="18"/>
      <c r="BL43" s="18"/>
      <c r="BM43" s="18"/>
      <c r="BN43" s="18"/>
      <c r="BO43" s="18"/>
      <c r="BP43" s="18"/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/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9"/>
      <c r="CZ43" s="43"/>
      <c r="DA43" s="12"/>
      <c r="DB43" s="12"/>
      <c r="DC43" s="12"/>
      <c r="DD43" s="12"/>
      <c r="DE43" s="12"/>
      <c r="DF43" s="12"/>
      <c r="DG43" s="12"/>
      <c r="DH43" s="12"/>
      <c r="DI43" s="12"/>
    </row>
    <row r="44" spans="2:113" ht="18" customHeight="1" x14ac:dyDescent="0.15">
      <c r="B44" s="40">
        <v>40</v>
      </c>
      <c r="C44" s="41"/>
      <c r="D44" s="44"/>
      <c r="E44" s="52" t="s">
        <v>52</v>
      </c>
      <c r="F44" s="53"/>
      <c r="G44" s="47"/>
      <c r="H44" s="48"/>
      <c r="I44" s="2"/>
      <c r="J44" s="6"/>
      <c r="K44" s="38"/>
      <c r="L44" s="50"/>
      <c r="M44" s="9" t="str">
        <f>IF(K44&gt;0,L44/K44,"")</f>
        <v/>
      </c>
      <c r="N44" s="16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36"/>
      <c r="BW44" s="36"/>
      <c r="BX44" s="36"/>
      <c r="BY44" s="36"/>
      <c r="BZ44" s="36"/>
      <c r="CA44" s="36"/>
      <c r="CB44" s="36"/>
      <c r="CC44" s="36"/>
      <c r="CD44" s="36"/>
      <c r="CE44" s="36"/>
      <c r="CF44" s="36"/>
      <c r="CG44" s="36"/>
      <c r="CH44" s="36"/>
      <c r="CI44" s="36"/>
      <c r="CJ44" s="36"/>
      <c r="CK44" s="36"/>
      <c r="CL44" s="36"/>
      <c r="CM44" s="36"/>
      <c r="CN44" s="36"/>
      <c r="CO44" s="36"/>
      <c r="CP44" s="36"/>
      <c r="CQ44" s="36"/>
      <c r="CR44" s="36"/>
      <c r="CS44" s="36"/>
      <c r="CT44" s="36"/>
      <c r="CU44" s="36"/>
      <c r="CV44" s="36"/>
      <c r="CW44" s="36"/>
      <c r="CX44" s="36"/>
      <c r="CY44" s="36"/>
      <c r="CZ44" s="37"/>
    </row>
    <row r="45" spans="2:113" ht="18" customHeight="1" x14ac:dyDescent="0.15">
      <c r="B45" s="40">
        <v>41</v>
      </c>
      <c r="C45" s="41"/>
      <c r="D45" s="44"/>
      <c r="E45" s="54" t="s">
        <v>53</v>
      </c>
      <c r="F45" s="53"/>
      <c r="G45" s="47"/>
      <c r="H45" s="48"/>
      <c r="I45" s="63"/>
      <c r="J45" s="4"/>
      <c r="K45" s="38"/>
      <c r="L45" s="58"/>
      <c r="M45" s="9" t="str">
        <f>IF(K45&gt;0,L45/K45,"")</f>
        <v/>
      </c>
      <c r="N45" s="16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36"/>
      <c r="BW45" s="36"/>
      <c r="BX45" s="36"/>
      <c r="BY45" s="36"/>
      <c r="BZ45" s="36"/>
      <c r="CA45" s="36"/>
      <c r="CB45" s="36"/>
      <c r="CC45" s="36"/>
      <c r="CD45" s="36"/>
      <c r="CE45" s="36"/>
      <c r="CF45" s="36"/>
      <c r="CG45" s="36"/>
      <c r="CH45" s="36"/>
      <c r="CI45" s="36"/>
      <c r="CJ45" s="36"/>
      <c r="CK45" s="36"/>
      <c r="CL45" s="36"/>
      <c r="CM45" s="36"/>
      <c r="CN45" s="36"/>
      <c r="CO45" s="36"/>
      <c r="CP45" s="36"/>
      <c r="CQ45" s="36"/>
      <c r="CR45" s="36"/>
      <c r="CS45" s="36"/>
      <c r="CT45" s="36"/>
      <c r="CU45" s="36"/>
      <c r="CV45" s="36"/>
      <c r="CW45" s="36"/>
      <c r="CX45" s="36"/>
      <c r="CY45" s="36"/>
      <c r="CZ45" s="37"/>
    </row>
    <row r="46" spans="2:113" ht="18" customHeight="1" x14ac:dyDescent="0.15">
      <c r="B46" s="40">
        <v>42</v>
      </c>
      <c r="C46" s="41"/>
      <c r="D46" s="44"/>
      <c r="E46" s="52" t="s">
        <v>54</v>
      </c>
      <c r="F46" s="53"/>
      <c r="G46" s="47"/>
      <c r="H46" s="48"/>
      <c r="I46" s="1"/>
      <c r="J46" s="5"/>
      <c r="K46" s="38"/>
      <c r="L46" s="49"/>
      <c r="M46" s="9" t="str">
        <f t="shared" si="2"/>
        <v/>
      </c>
      <c r="N46" s="17"/>
      <c r="O46" s="18"/>
      <c r="P46" s="18"/>
      <c r="Q46" s="18"/>
      <c r="R46" s="18"/>
      <c r="S46" s="18"/>
      <c r="T46" s="19"/>
      <c r="U46" s="19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9"/>
      <c r="CZ46" s="43"/>
      <c r="DA46" s="12"/>
      <c r="DB46" s="12"/>
      <c r="DC46" s="12"/>
      <c r="DD46" s="12"/>
      <c r="DE46" s="12"/>
      <c r="DF46" s="12"/>
      <c r="DG46" s="12"/>
      <c r="DH46" s="12"/>
      <c r="DI46" s="12"/>
    </row>
    <row r="47" spans="2:113" ht="18" customHeight="1" x14ac:dyDescent="0.15">
      <c r="B47" s="40">
        <v>43</v>
      </c>
      <c r="C47" s="41"/>
      <c r="D47" s="41"/>
      <c r="E47" s="54" t="s">
        <v>55</v>
      </c>
      <c r="F47" s="53"/>
      <c r="G47" s="47"/>
      <c r="H47" s="48"/>
      <c r="I47" s="1"/>
      <c r="J47" s="5"/>
      <c r="K47" s="38"/>
      <c r="L47" s="50"/>
      <c r="M47" s="9" t="str">
        <f t="shared" si="2"/>
        <v/>
      </c>
      <c r="N47" s="16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  <c r="BV47" s="36"/>
      <c r="BW47" s="36"/>
      <c r="BX47" s="36"/>
      <c r="BY47" s="36"/>
      <c r="BZ47" s="36"/>
      <c r="CA47" s="36"/>
      <c r="CB47" s="36"/>
      <c r="CC47" s="36"/>
      <c r="CD47" s="36"/>
      <c r="CE47" s="36"/>
      <c r="CF47" s="36"/>
      <c r="CG47" s="36"/>
      <c r="CH47" s="36"/>
      <c r="CI47" s="36"/>
      <c r="CJ47" s="36"/>
      <c r="CK47" s="36"/>
      <c r="CL47" s="36"/>
      <c r="CM47" s="36"/>
      <c r="CN47" s="36"/>
      <c r="CO47" s="36"/>
      <c r="CP47" s="36"/>
      <c r="CQ47" s="36"/>
      <c r="CR47" s="36"/>
      <c r="CS47" s="36"/>
      <c r="CT47" s="36"/>
      <c r="CU47" s="36"/>
      <c r="CV47" s="36"/>
      <c r="CW47" s="36"/>
      <c r="CX47" s="36"/>
      <c r="CY47" s="36"/>
      <c r="CZ47" s="37"/>
    </row>
    <row r="48" spans="2:113" ht="18" customHeight="1" x14ac:dyDescent="0.15">
      <c r="B48" s="40">
        <v>44</v>
      </c>
      <c r="C48" s="41"/>
      <c r="D48" s="41"/>
      <c r="E48" s="52" t="s">
        <v>56</v>
      </c>
      <c r="F48" s="53"/>
      <c r="G48" s="47"/>
      <c r="H48" s="48"/>
      <c r="I48" s="2"/>
      <c r="J48" s="6"/>
      <c r="K48" s="38"/>
      <c r="L48" s="50"/>
      <c r="M48" s="9" t="str">
        <f t="shared" si="2"/>
        <v/>
      </c>
      <c r="N48" s="16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/>
      <c r="BN48" s="15"/>
      <c r="BO48" s="15"/>
      <c r="BP48" s="15"/>
      <c r="BQ48" s="15"/>
      <c r="BR48" s="15"/>
      <c r="BS48" s="15"/>
      <c r="BT48" s="15"/>
      <c r="BU48" s="15"/>
      <c r="BV48" s="36"/>
      <c r="BW48" s="36"/>
      <c r="BX48" s="36"/>
      <c r="BY48" s="36"/>
      <c r="BZ48" s="36"/>
      <c r="CA48" s="36"/>
      <c r="CB48" s="36"/>
      <c r="CC48" s="36"/>
      <c r="CD48" s="36"/>
      <c r="CE48" s="36"/>
      <c r="CF48" s="36"/>
      <c r="CG48" s="36"/>
      <c r="CH48" s="36"/>
      <c r="CI48" s="36"/>
      <c r="CJ48" s="36"/>
      <c r="CK48" s="36"/>
      <c r="CL48" s="36"/>
      <c r="CM48" s="36"/>
      <c r="CN48" s="36"/>
      <c r="CO48" s="36"/>
      <c r="CP48" s="36"/>
      <c r="CQ48" s="36"/>
      <c r="CR48" s="36"/>
      <c r="CS48" s="36"/>
      <c r="CT48" s="36"/>
      <c r="CU48" s="36"/>
      <c r="CV48" s="36"/>
      <c r="CW48" s="36"/>
      <c r="CX48" s="36"/>
      <c r="CY48" s="36"/>
      <c r="CZ48" s="37"/>
    </row>
    <row r="49" spans="2:113" ht="18" customHeight="1" x14ac:dyDescent="0.15">
      <c r="B49" s="40">
        <v>45</v>
      </c>
      <c r="C49" s="41"/>
      <c r="D49" s="41"/>
      <c r="E49" s="54" t="s">
        <v>57</v>
      </c>
      <c r="F49" s="53"/>
      <c r="G49" s="47"/>
      <c r="H49" s="48"/>
      <c r="I49" s="63"/>
      <c r="J49" s="4"/>
      <c r="K49" s="38"/>
      <c r="L49" s="58"/>
      <c r="M49" s="9" t="str">
        <f>IF(K49&gt;0,L49/K49,"")</f>
        <v/>
      </c>
      <c r="N49" s="16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5"/>
      <c r="BN49" s="15"/>
      <c r="BO49" s="15"/>
      <c r="BP49" s="15"/>
      <c r="BQ49" s="15"/>
      <c r="BR49" s="15"/>
      <c r="BS49" s="15"/>
      <c r="BT49" s="15"/>
      <c r="BU49" s="15"/>
      <c r="BV49" s="36"/>
      <c r="BW49" s="36"/>
      <c r="BX49" s="36"/>
      <c r="BY49" s="36"/>
      <c r="BZ49" s="36"/>
      <c r="CA49" s="36"/>
      <c r="CB49" s="36"/>
      <c r="CC49" s="36"/>
      <c r="CD49" s="36"/>
      <c r="CE49" s="36"/>
      <c r="CF49" s="36"/>
      <c r="CG49" s="36"/>
      <c r="CH49" s="36"/>
      <c r="CI49" s="36"/>
      <c r="CJ49" s="36"/>
      <c r="CK49" s="36"/>
      <c r="CL49" s="36"/>
      <c r="CM49" s="36"/>
      <c r="CN49" s="36"/>
      <c r="CO49" s="36"/>
      <c r="CP49" s="36"/>
      <c r="CQ49" s="36"/>
      <c r="CR49" s="36"/>
      <c r="CS49" s="36"/>
      <c r="CT49" s="36"/>
      <c r="CU49" s="36"/>
      <c r="CV49" s="36"/>
      <c r="CW49" s="36"/>
      <c r="CX49" s="36"/>
      <c r="CY49" s="36"/>
      <c r="CZ49" s="37"/>
    </row>
    <row r="50" spans="2:113" ht="18" customHeight="1" x14ac:dyDescent="0.15">
      <c r="B50" s="40">
        <v>46</v>
      </c>
      <c r="C50" s="41"/>
      <c r="D50" s="41"/>
      <c r="E50" s="52" t="s">
        <v>58</v>
      </c>
      <c r="F50" s="53"/>
      <c r="G50" s="47"/>
      <c r="H50" s="48"/>
      <c r="I50" s="63"/>
      <c r="J50" s="4"/>
      <c r="K50" s="38"/>
      <c r="L50" s="56"/>
      <c r="M50" s="9" t="str">
        <f t="shared" si="2"/>
        <v/>
      </c>
      <c r="N50" s="18"/>
      <c r="O50" s="18"/>
      <c r="P50" s="18"/>
      <c r="Q50" s="18"/>
      <c r="R50" s="19"/>
      <c r="S50" s="19"/>
      <c r="T50" s="19"/>
      <c r="U50" s="19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9"/>
      <c r="CZ50" s="43"/>
      <c r="DA50" s="12"/>
      <c r="DB50" s="12"/>
      <c r="DC50" s="12"/>
      <c r="DD50" s="12"/>
      <c r="DE50" s="12"/>
      <c r="DF50" s="12"/>
      <c r="DG50" s="12"/>
      <c r="DH50" s="12"/>
      <c r="DI50" s="12"/>
    </row>
    <row r="51" spans="2:113" ht="18" customHeight="1" x14ac:dyDescent="0.15">
      <c r="B51" s="40">
        <v>47</v>
      </c>
      <c r="C51" s="41"/>
      <c r="D51" s="44"/>
      <c r="E51" s="54" t="s">
        <v>59</v>
      </c>
      <c r="F51" s="53"/>
      <c r="G51" s="47"/>
      <c r="H51" s="48"/>
      <c r="I51" s="63"/>
      <c r="J51" s="4"/>
      <c r="K51" s="38"/>
      <c r="L51" s="56"/>
      <c r="M51" s="9" t="str">
        <f t="shared" si="2"/>
        <v/>
      </c>
      <c r="N51" s="18"/>
      <c r="O51" s="18"/>
      <c r="P51" s="18"/>
      <c r="Q51" s="18"/>
      <c r="R51" s="19"/>
      <c r="S51" s="19"/>
      <c r="T51" s="19"/>
      <c r="U51" s="19"/>
      <c r="V51" s="27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  <c r="AX51" s="28"/>
      <c r="AY51" s="28"/>
      <c r="AZ51" s="28"/>
      <c r="BA51" s="28"/>
      <c r="BB51" s="28"/>
      <c r="BC51" s="28"/>
      <c r="BD51" s="28"/>
      <c r="BE51" s="28"/>
      <c r="BF51" s="29"/>
      <c r="BG51" s="29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9"/>
      <c r="CZ51" s="43"/>
      <c r="DA51" s="12"/>
      <c r="DB51" s="12"/>
      <c r="DC51" s="12"/>
      <c r="DD51" s="12"/>
      <c r="DE51" s="12"/>
      <c r="DF51" s="12"/>
      <c r="DG51" s="12"/>
      <c r="DH51" s="12"/>
      <c r="DI51" s="12"/>
    </row>
    <row r="52" spans="2:113" ht="18" customHeight="1" x14ac:dyDescent="0.15">
      <c r="B52" s="40">
        <v>48</v>
      </c>
      <c r="C52" s="41"/>
      <c r="D52" s="44"/>
      <c r="E52" s="52" t="s">
        <v>60</v>
      </c>
      <c r="F52" s="53"/>
      <c r="G52" s="47"/>
      <c r="H52" s="48"/>
      <c r="I52" s="63"/>
      <c r="J52" s="4"/>
      <c r="K52" s="38"/>
      <c r="L52" s="56"/>
      <c r="M52" s="9" t="str">
        <f t="shared" si="2"/>
        <v/>
      </c>
      <c r="N52" s="18"/>
      <c r="O52" s="18"/>
      <c r="P52" s="18"/>
      <c r="Q52" s="18"/>
      <c r="R52" s="19"/>
      <c r="S52" s="19"/>
      <c r="T52" s="25"/>
      <c r="U52" s="25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9"/>
      <c r="CZ52" s="43"/>
      <c r="DA52" s="12"/>
      <c r="DB52" s="12"/>
      <c r="DC52" s="12"/>
      <c r="DD52" s="12"/>
      <c r="DE52" s="12"/>
      <c r="DF52" s="12"/>
      <c r="DG52" s="12"/>
      <c r="DH52" s="12"/>
      <c r="DI52" s="12"/>
    </row>
    <row r="53" spans="2:113" ht="18" customHeight="1" x14ac:dyDescent="0.15">
      <c r="B53" s="40">
        <v>49</v>
      </c>
      <c r="C53" s="41"/>
      <c r="D53" s="44"/>
      <c r="E53" s="54" t="s">
        <v>61</v>
      </c>
      <c r="F53" s="53"/>
      <c r="G53" s="47"/>
      <c r="H53" s="48"/>
      <c r="I53" s="3"/>
      <c r="J53" s="7"/>
      <c r="K53" s="38"/>
      <c r="L53" s="55"/>
      <c r="M53" s="9" t="str">
        <f t="shared" si="2"/>
        <v/>
      </c>
      <c r="N53" s="32"/>
      <c r="O53" s="18"/>
      <c r="P53" s="18"/>
      <c r="Q53" s="18"/>
      <c r="R53" s="19"/>
      <c r="S53" s="19"/>
      <c r="T53" s="19"/>
      <c r="U53" s="19"/>
      <c r="V53" s="19"/>
      <c r="W53" s="19"/>
      <c r="X53" s="19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33"/>
      <c r="AW53" s="33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9"/>
      <c r="CZ53" s="43"/>
      <c r="DA53" s="12"/>
      <c r="DB53" s="12"/>
      <c r="DC53" s="12"/>
      <c r="DD53" s="12"/>
      <c r="DE53" s="12"/>
      <c r="DF53" s="12"/>
      <c r="DG53" s="12"/>
      <c r="DH53" s="12"/>
      <c r="DI53" s="12"/>
    </row>
    <row r="54" spans="2:113" ht="18" customHeight="1" x14ac:dyDescent="0.15">
      <c r="B54" s="40">
        <v>50</v>
      </c>
      <c r="C54" s="45"/>
      <c r="D54" s="46"/>
      <c r="E54" s="52" t="s">
        <v>62</v>
      </c>
      <c r="F54" s="53"/>
      <c r="G54" s="47"/>
      <c r="H54" s="48"/>
      <c r="I54" s="63"/>
      <c r="J54" s="4"/>
      <c r="K54" s="38"/>
      <c r="L54" s="58"/>
      <c r="M54" s="9" t="str">
        <f t="shared" si="2"/>
        <v/>
      </c>
      <c r="N54" s="16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5"/>
      <c r="BN54" s="15"/>
      <c r="BO54" s="15"/>
      <c r="BP54" s="15"/>
      <c r="BQ54" s="15"/>
      <c r="BR54" s="15"/>
      <c r="BS54" s="15"/>
      <c r="BT54" s="15"/>
      <c r="BU54" s="15"/>
      <c r="BV54" s="36"/>
      <c r="BW54" s="36"/>
      <c r="BX54" s="36"/>
      <c r="BY54" s="36"/>
      <c r="BZ54" s="36"/>
      <c r="CA54" s="36"/>
      <c r="CB54" s="36"/>
      <c r="CC54" s="36"/>
      <c r="CD54" s="36"/>
      <c r="CE54" s="36"/>
      <c r="CF54" s="36"/>
      <c r="CG54" s="36"/>
      <c r="CH54" s="36"/>
      <c r="CI54" s="36"/>
      <c r="CJ54" s="36"/>
      <c r="CK54" s="36"/>
      <c r="CL54" s="36"/>
      <c r="CM54" s="36"/>
      <c r="CN54" s="36"/>
      <c r="CO54" s="36"/>
      <c r="CP54" s="36"/>
      <c r="CQ54" s="36"/>
      <c r="CR54" s="36"/>
      <c r="CS54" s="36"/>
      <c r="CT54" s="36"/>
      <c r="CU54" s="36"/>
      <c r="CV54" s="36"/>
      <c r="CW54" s="36"/>
      <c r="CX54" s="36"/>
      <c r="CY54" s="36"/>
      <c r="CZ54" s="37"/>
    </row>
  </sheetData>
  <autoFilter ref="A4:DI54" xr:uid="{00000000-0009-0000-0000-000005000000}"/>
  <mergeCells count="13">
    <mergeCell ref="K3:K4"/>
    <mergeCell ref="L3:L4"/>
    <mergeCell ref="M3:M4"/>
    <mergeCell ref="B2:B4"/>
    <mergeCell ref="C2:E2"/>
    <mergeCell ref="F2:F4"/>
    <mergeCell ref="G2:J2"/>
    <mergeCell ref="K2:M2"/>
    <mergeCell ref="C3:C4"/>
    <mergeCell ref="D3:D4"/>
    <mergeCell ref="E3:E4"/>
    <mergeCell ref="G3:H3"/>
    <mergeCell ref="I3:J3"/>
  </mergeCells>
  <phoneticPr fontId="4"/>
  <conditionalFormatting sqref="N2:CZ54">
    <cfRule type="expression" dxfId="15" priority="5">
      <formula>DAY(N$3)=1</formula>
    </cfRule>
  </conditionalFormatting>
  <conditionalFormatting sqref="N3:CZ54">
    <cfRule type="expression" dxfId="14" priority="4">
      <formula>DAY(N$3)&gt;1</formula>
    </cfRule>
  </conditionalFormatting>
  <conditionalFormatting sqref="N3:CZ3">
    <cfRule type="expression" dxfId="13" priority="3">
      <formula>DAY(N$3)&gt;1</formula>
    </cfRule>
  </conditionalFormatting>
  <conditionalFormatting sqref="N3:CZ3">
    <cfRule type="expression" dxfId="12" priority="2">
      <formula>DAY(N$3)=1</formula>
    </cfRule>
  </conditionalFormatting>
  <conditionalFormatting sqref="N5:CZ54">
    <cfRule type="expression" dxfId="11" priority="1">
      <formula>IF(AND(N$3&gt;=$G5, N$3- DAY(EOMONTH(N$3,0))&lt;$H5)=TRUE, TRUE, FALSE)</formula>
    </cfRule>
  </conditionalFormatting>
  <pageMargins left="0.23622047244094491" right="0.23622047244094491" top="0.74803149606299213" bottom="0.74803149606299213" header="0.31496062992125984" footer="0.31496062992125984"/>
  <pageSetup paperSize="8" scale="19" fitToHeight="0" orientation="landscape" r:id="rId1"/>
  <headerFooter alignWithMargins="0">
    <oddHeader>&amp;R&amp;16&amp;D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117"/>
  <sheetViews>
    <sheetView workbookViewId="0">
      <selection activeCell="I19" sqref="I19"/>
    </sheetView>
  </sheetViews>
  <sheetFormatPr defaultRowHeight="15.75" x14ac:dyDescent="0.15"/>
  <cols>
    <col min="1" max="2" width="12.75" style="61" bestFit="1" customWidth="1"/>
    <col min="3" max="4" width="9" style="61"/>
    <col min="5" max="6" width="12.75" style="61" bestFit="1" customWidth="1"/>
    <col min="7" max="16384" width="9" style="61"/>
  </cols>
  <sheetData>
    <row r="1" spans="1:5" x14ac:dyDescent="0.15">
      <c r="A1" s="75">
        <v>44197</v>
      </c>
      <c r="B1" t="s">
        <v>81</v>
      </c>
      <c r="D1" s="62"/>
      <c r="E1" s="62"/>
    </row>
    <row r="2" spans="1:5" x14ac:dyDescent="0.15">
      <c r="A2" s="75">
        <v>44198</v>
      </c>
      <c r="B2" t="s">
        <v>82</v>
      </c>
      <c r="D2" s="62" t="s">
        <v>78</v>
      </c>
      <c r="E2" s="62"/>
    </row>
    <row r="3" spans="1:5" x14ac:dyDescent="0.15">
      <c r="A3" s="75">
        <v>44199</v>
      </c>
      <c r="B3" t="s">
        <v>82</v>
      </c>
      <c r="D3" s="72" t="s">
        <v>79</v>
      </c>
      <c r="E3" s="73">
        <v>44197</v>
      </c>
    </row>
    <row r="4" spans="1:5" x14ac:dyDescent="0.15">
      <c r="A4" s="75">
        <v>44207</v>
      </c>
      <c r="B4" t="s">
        <v>83</v>
      </c>
      <c r="D4" s="72" t="s">
        <v>80</v>
      </c>
      <c r="E4" s="74">
        <v>45291</v>
      </c>
    </row>
    <row r="5" spans="1:5" x14ac:dyDescent="0.15">
      <c r="A5" s="75">
        <v>44238</v>
      </c>
      <c r="B5" t="s">
        <v>84</v>
      </c>
      <c r="D5" s="62"/>
      <c r="E5" s="62"/>
    </row>
    <row r="6" spans="1:5" x14ac:dyDescent="0.15">
      <c r="A6" s="75">
        <v>44250</v>
      </c>
      <c r="B6" t="s">
        <v>85</v>
      </c>
      <c r="D6" s="60" t="s">
        <v>99</v>
      </c>
      <c r="E6" s="62"/>
    </row>
    <row r="7" spans="1:5" x14ac:dyDescent="0.15">
      <c r="A7" s="75">
        <v>44275</v>
      </c>
      <c r="B7" t="s">
        <v>86</v>
      </c>
      <c r="D7" s="62"/>
      <c r="E7" s="62"/>
    </row>
    <row r="8" spans="1:5" x14ac:dyDescent="0.15">
      <c r="A8" s="75">
        <v>44315</v>
      </c>
      <c r="B8" t="s">
        <v>87</v>
      </c>
      <c r="E8" s="62"/>
    </row>
    <row r="9" spans="1:5" x14ac:dyDescent="0.15">
      <c r="A9" s="75">
        <v>44319</v>
      </c>
      <c r="B9" t="s">
        <v>88</v>
      </c>
      <c r="D9" s="62"/>
      <c r="E9" s="62"/>
    </row>
    <row r="10" spans="1:5" x14ac:dyDescent="0.15">
      <c r="A10" s="75">
        <v>44320</v>
      </c>
      <c r="B10" t="s">
        <v>89</v>
      </c>
      <c r="E10" s="62"/>
    </row>
    <row r="11" spans="1:5" x14ac:dyDescent="0.15">
      <c r="A11" s="75">
        <v>44321</v>
      </c>
      <c r="B11" t="s">
        <v>90</v>
      </c>
      <c r="D11" s="62" t="s">
        <v>100</v>
      </c>
      <c r="E11" s="62"/>
    </row>
    <row r="12" spans="1:5" x14ac:dyDescent="0.15">
      <c r="A12" s="75">
        <v>44399</v>
      </c>
      <c r="B12" t="s">
        <v>91</v>
      </c>
      <c r="D12" s="62" t="s">
        <v>101</v>
      </c>
      <c r="E12" s="62"/>
    </row>
    <row r="13" spans="1:5" x14ac:dyDescent="0.15">
      <c r="A13" s="75">
        <v>44400</v>
      </c>
      <c r="B13" t="s">
        <v>92</v>
      </c>
    </row>
    <row r="14" spans="1:5" x14ac:dyDescent="0.15">
      <c r="A14" s="75">
        <v>44416</v>
      </c>
      <c r="B14" t="s">
        <v>93</v>
      </c>
      <c r="D14" s="62" t="s">
        <v>102</v>
      </c>
    </row>
    <row r="15" spans="1:5" x14ac:dyDescent="0.15">
      <c r="A15" s="75">
        <v>44417</v>
      </c>
      <c r="B15" t="s">
        <v>94</v>
      </c>
    </row>
    <row r="16" spans="1:5" x14ac:dyDescent="0.15">
      <c r="A16" s="75">
        <v>44459</v>
      </c>
      <c r="B16" t="s">
        <v>95</v>
      </c>
    </row>
    <row r="17" spans="1:4" x14ac:dyDescent="0.15">
      <c r="A17" s="75">
        <v>44462</v>
      </c>
      <c r="B17" t="s">
        <v>96</v>
      </c>
    </row>
    <row r="18" spans="1:4" x14ac:dyDescent="0.15">
      <c r="A18" s="75">
        <v>44503</v>
      </c>
      <c r="B18" t="s">
        <v>97</v>
      </c>
    </row>
    <row r="19" spans="1:4" x14ac:dyDescent="0.15">
      <c r="A19" s="75">
        <v>44523</v>
      </c>
      <c r="B19" t="s">
        <v>98</v>
      </c>
      <c r="D19" s="62"/>
    </row>
    <row r="20" spans="1:4" x14ac:dyDescent="0.15">
      <c r="A20" s="75">
        <v>44559</v>
      </c>
      <c r="B20" t="s">
        <v>82</v>
      </c>
    </row>
    <row r="21" spans="1:4" x14ac:dyDescent="0.15">
      <c r="A21" s="75">
        <v>44560</v>
      </c>
      <c r="B21" t="s">
        <v>82</v>
      </c>
    </row>
    <row r="22" spans="1:4" x14ac:dyDescent="0.15">
      <c r="A22" s="75">
        <v>44561</v>
      </c>
      <c r="B22" t="s">
        <v>82</v>
      </c>
    </row>
    <row r="23" spans="1:4" x14ac:dyDescent="0.15">
      <c r="A23" s="75">
        <v>44562</v>
      </c>
      <c r="B23" t="s">
        <v>81</v>
      </c>
    </row>
    <row r="24" spans="1:4" x14ac:dyDescent="0.15">
      <c r="A24" s="75">
        <v>44563</v>
      </c>
      <c r="B24" t="s">
        <v>82</v>
      </c>
    </row>
    <row r="25" spans="1:4" x14ac:dyDescent="0.15">
      <c r="A25" s="75">
        <v>44564</v>
      </c>
      <c r="B25" t="s">
        <v>82</v>
      </c>
    </row>
    <row r="26" spans="1:4" x14ac:dyDescent="0.15">
      <c r="A26" s="75">
        <v>44571</v>
      </c>
      <c r="B26" t="s">
        <v>83</v>
      </c>
    </row>
    <row r="27" spans="1:4" x14ac:dyDescent="0.15">
      <c r="A27" s="75">
        <v>44603</v>
      </c>
      <c r="B27" t="s">
        <v>84</v>
      </c>
    </row>
    <row r="28" spans="1:4" x14ac:dyDescent="0.15">
      <c r="A28" s="75">
        <v>44615</v>
      </c>
      <c r="B28" t="s">
        <v>85</v>
      </c>
    </row>
    <row r="29" spans="1:4" x14ac:dyDescent="0.15">
      <c r="A29" s="75">
        <v>44641</v>
      </c>
      <c r="B29" t="s">
        <v>86</v>
      </c>
    </row>
    <row r="30" spans="1:4" x14ac:dyDescent="0.15">
      <c r="A30" s="75">
        <v>44680</v>
      </c>
      <c r="B30" t="s">
        <v>87</v>
      </c>
    </row>
    <row r="31" spans="1:4" x14ac:dyDescent="0.15">
      <c r="A31" s="75">
        <v>44684</v>
      </c>
      <c r="B31" t="s">
        <v>88</v>
      </c>
    </row>
    <row r="32" spans="1:4" x14ac:dyDescent="0.15">
      <c r="A32" s="75">
        <v>44685</v>
      </c>
      <c r="B32" t="s">
        <v>89</v>
      </c>
    </row>
    <row r="33" spans="1:2" x14ac:dyDescent="0.15">
      <c r="A33" s="75">
        <v>44686</v>
      </c>
      <c r="B33" t="s">
        <v>90</v>
      </c>
    </row>
    <row r="34" spans="1:2" x14ac:dyDescent="0.15">
      <c r="A34" s="75">
        <v>44760</v>
      </c>
      <c r="B34" t="s">
        <v>91</v>
      </c>
    </row>
    <row r="35" spans="1:2" x14ac:dyDescent="0.15">
      <c r="A35" s="75">
        <v>44784</v>
      </c>
      <c r="B35" t="s">
        <v>93</v>
      </c>
    </row>
    <row r="36" spans="1:2" x14ac:dyDescent="0.15">
      <c r="A36" s="75">
        <v>44823</v>
      </c>
      <c r="B36" t="s">
        <v>95</v>
      </c>
    </row>
    <row r="37" spans="1:2" x14ac:dyDescent="0.15">
      <c r="A37" s="75">
        <v>44827</v>
      </c>
      <c r="B37" t="s">
        <v>96</v>
      </c>
    </row>
    <row r="38" spans="1:2" x14ac:dyDescent="0.15">
      <c r="A38" s="75">
        <v>44844</v>
      </c>
      <c r="B38" t="s">
        <v>92</v>
      </c>
    </row>
    <row r="39" spans="1:2" x14ac:dyDescent="0.15">
      <c r="A39" s="75">
        <v>44868</v>
      </c>
      <c r="B39" t="s">
        <v>97</v>
      </c>
    </row>
    <row r="40" spans="1:2" x14ac:dyDescent="0.15">
      <c r="A40" s="75">
        <v>44888</v>
      </c>
      <c r="B40" t="s">
        <v>98</v>
      </c>
    </row>
    <row r="41" spans="1:2" x14ac:dyDescent="0.15">
      <c r="A41" s="75">
        <v>44924</v>
      </c>
      <c r="B41" t="s">
        <v>82</v>
      </c>
    </row>
    <row r="42" spans="1:2" x14ac:dyDescent="0.15">
      <c r="A42" s="75">
        <v>44925</v>
      </c>
      <c r="B42" t="s">
        <v>82</v>
      </c>
    </row>
    <row r="43" spans="1:2" x14ac:dyDescent="0.15">
      <c r="A43" s="75">
        <v>44926</v>
      </c>
      <c r="B43" t="s">
        <v>82</v>
      </c>
    </row>
    <row r="44" spans="1:2" x14ac:dyDescent="0.15">
      <c r="A44" s="75">
        <v>44927</v>
      </c>
      <c r="B44" t="s">
        <v>81</v>
      </c>
    </row>
    <row r="45" spans="1:2" x14ac:dyDescent="0.15">
      <c r="A45" s="75">
        <v>44928</v>
      </c>
      <c r="B45" t="s">
        <v>94</v>
      </c>
    </row>
    <row r="46" spans="1:2" x14ac:dyDescent="0.15">
      <c r="A46" s="75">
        <v>44929</v>
      </c>
      <c r="B46" t="s">
        <v>82</v>
      </c>
    </row>
    <row r="47" spans="1:2" x14ac:dyDescent="0.15">
      <c r="A47" s="75">
        <v>44935</v>
      </c>
      <c r="B47" t="s">
        <v>83</v>
      </c>
    </row>
    <row r="48" spans="1:2" x14ac:dyDescent="0.15">
      <c r="A48" s="75">
        <v>44968</v>
      </c>
      <c r="B48" t="s">
        <v>84</v>
      </c>
    </row>
    <row r="49" spans="1:2" x14ac:dyDescent="0.15">
      <c r="A49" s="75">
        <v>44980</v>
      </c>
      <c r="B49" t="s">
        <v>85</v>
      </c>
    </row>
    <row r="50" spans="1:2" x14ac:dyDescent="0.15">
      <c r="A50" s="75">
        <v>45006</v>
      </c>
      <c r="B50" t="s">
        <v>86</v>
      </c>
    </row>
    <row r="51" spans="1:2" x14ac:dyDescent="0.15">
      <c r="A51" s="75">
        <v>45045</v>
      </c>
      <c r="B51" t="s">
        <v>87</v>
      </c>
    </row>
    <row r="52" spans="1:2" x14ac:dyDescent="0.15">
      <c r="A52" s="75">
        <v>45049</v>
      </c>
      <c r="B52" t="s">
        <v>88</v>
      </c>
    </row>
    <row r="53" spans="1:2" x14ac:dyDescent="0.15">
      <c r="A53" s="75">
        <v>45050</v>
      </c>
      <c r="B53" t="s">
        <v>89</v>
      </c>
    </row>
    <row r="54" spans="1:2" x14ac:dyDescent="0.15">
      <c r="A54" s="75">
        <v>45051</v>
      </c>
      <c r="B54" t="s">
        <v>90</v>
      </c>
    </row>
    <row r="55" spans="1:2" x14ac:dyDescent="0.15">
      <c r="A55" s="75">
        <v>45124</v>
      </c>
      <c r="B55" t="s">
        <v>91</v>
      </c>
    </row>
    <row r="56" spans="1:2" x14ac:dyDescent="0.15">
      <c r="A56" s="75">
        <v>45149</v>
      </c>
      <c r="B56" t="s">
        <v>93</v>
      </c>
    </row>
    <row r="57" spans="1:2" x14ac:dyDescent="0.15">
      <c r="A57" s="75">
        <v>45187</v>
      </c>
      <c r="B57" t="s">
        <v>95</v>
      </c>
    </row>
    <row r="58" spans="1:2" x14ac:dyDescent="0.15">
      <c r="A58" s="75">
        <v>45192</v>
      </c>
      <c r="B58" t="s">
        <v>96</v>
      </c>
    </row>
    <row r="59" spans="1:2" x14ac:dyDescent="0.15">
      <c r="A59" s="75">
        <v>45208</v>
      </c>
      <c r="B59" t="s">
        <v>92</v>
      </c>
    </row>
    <row r="60" spans="1:2" x14ac:dyDescent="0.15">
      <c r="A60" s="75">
        <v>45233</v>
      </c>
      <c r="B60" t="s">
        <v>97</v>
      </c>
    </row>
    <row r="61" spans="1:2" x14ac:dyDescent="0.15">
      <c r="A61" s="75">
        <v>45253</v>
      </c>
      <c r="B61" t="s">
        <v>98</v>
      </c>
    </row>
    <row r="62" spans="1:2" x14ac:dyDescent="0.15">
      <c r="A62" s="75">
        <v>45289</v>
      </c>
      <c r="B62" t="s">
        <v>82</v>
      </c>
    </row>
    <row r="63" spans="1:2" x14ac:dyDescent="0.15">
      <c r="A63" s="75">
        <v>45290</v>
      </c>
      <c r="B63" t="s">
        <v>82</v>
      </c>
    </row>
    <row r="64" spans="1:2" x14ac:dyDescent="0.15">
      <c r="A64" s="75">
        <v>45291</v>
      </c>
      <c r="B64" t="s">
        <v>82</v>
      </c>
    </row>
    <row r="65" spans="1:2" x14ac:dyDescent="0.15">
      <c r="A65"/>
      <c r="B65"/>
    </row>
    <row r="66" spans="1:2" x14ac:dyDescent="0.15">
      <c r="A66"/>
      <c r="B66"/>
    </row>
    <row r="67" spans="1:2" x14ac:dyDescent="0.15">
      <c r="A67"/>
      <c r="B67"/>
    </row>
    <row r="68" spans="1:2" x14ac:dyDescent="0.15">
      <c r="A68"/>
      <c r="B68"/>
    </row>
    <row r="69" spans="1:2" x14ac:dyDescent="0.15">
      <c r="A69"/>
      <c r="B69"/>
    </row>
    <row r="70" spans="1:2" x14ac:dyDescent="0.15">
      <c r="A70"/>
      <c r="B70"/>
    </row>
    <row r="71" spans="1:2" x14ac:dyDescent="0.15">
      <c r="A71"/>
      <c r="B71"/>
    </row>
    <row r="72" spans="1:2" x14ac:dyDescent="0.15">
      <c r="A72"/>
      <c r="B72"/>
    </row>
    <row r="73" spans="1:2" x14ac:dyDescent="0.15">
      <c r="A73"/>
      <c r="B73"/>
    </row>
    <row r="74" spans="1:2" x14ac:dyDescent="0.15">
      <c r="A74"/>
      <c r="B74"/>
    </row>
    <row r="75" spans="1:2" x14ac:dyDescent="0.15">
      <c r="A75"/>
      <c r="B75"/>
    </row>
    <row r="76" spans="1:2" x14ac:dyDescent="0.15">
      <c r="A76"/>
      <c r="B76"/>
    </row>
    <row r="77" spans="1:2" x14ac:dyDescent="0.15">
      <c r="A77"/>
      <c r="B77"/>
    </row>
    <row r="78" spans="1:2" x14ac:dyDescent="0.15">
      <c r="A78"/>
      <c r="B78"/>
    </row>
    <row r="79" spans="1:2" x14ac:dyDescent="0.15">
      <c r="A79"/>
      <c r="B79"/>
    </row>
    <row r="80" spans="1:2" x14ac:dyDescent="0.15">
      <c r="A80"/>
      <c r="B80"/>
    </row>
    <row r="81" spans="1:2" x14ac:dyDescent="0.15">
      <c r="A81"/>
      <c r="B81"/>
    </row>
    <row r="82" spans="1:2" x14ac:dyDescent="0.15">
      <c r="A82"/>
      <c r="B82"/>
    </row>
    <row r="83" spans="1:2" x14ac:dyDescent="0.15">
      <c r="A83"/>
      <c r="B83"/>
    </row>
    <row r="84" spans="1:2" x14ac:dyDescent="0.15">
      <c r="A84"/>
      <c r="B84"/>
    </row>
    <row r="85" spans="1:2" x14ac:dyDescent="0.15">
      <c r="A85"/>
      <c r="B85"/>
    </row>
    <row r="86" spans="1:2" x14ac:dyDescent="0.15">
      <c r="A86"/>
      <c r="B86"/>
    </row>
    <row r="87" spans="1:2" x14ac:dyDescent="0.15">
      <c r="A87"/>
      <c r="B87"/>
    </row>
    <row r="88" spans="1:2" x14ac:dyDescent="0.15">
      <c r="A88"/>
      <c r="B88"/>
    </row>
    <row r="89" spans="1:2" x14ac:dyDescent="0.15">
      <c r="A89"/>
      <c r="B89"/>
    </row>
    <row r="90" spans="1:2" x14ac:dyDescent="0.15">
      <c r="A90"/>
      <c r="B90"/>
    </row>
    <row r="91" spans="1:2" x14ac:dyDescent="0.15">
      <c r="A91"/>
      <c r="B91"/>
    </row>
    <row r="92" spans="1:2" x14ac:dyDescent="0.15">
      <c r="A92"/>
      <c r="B92"/>
    </row>
    <row r="93" spans="1:2" x14ac:dyDescent="0.15">
      <c r="A93"/>
      <c r="B93"/>
    </row>
    <row r="94" spans="1:2" x14ac:dyDescent="0.15">
      <c r="A94"/>
      <c r="B94"/>
    </row>
    <row r="95" spans="1:2" x14ac:dyDescent="0.15">
      <c r="A95"/>
      <c r="B95"/>
    </row>
    <row r="96" spans="1:2" x14ac:dyDescent="0.15">
      <c r="A96"/>
      <c r="B96"/>
    </row>
    <row r="97" spans="1:2" x14ac:dyDescent="0.15">
      <c r="A97"/>
      <c r="B97"/>
    </row>
    <row r="98" spans="1:2" x14ac:dyDescent="0.15">
      <c r="A98"/>
      <c r="B98"/>
    </row>
    <row r="99" spans="1:2" x14ac:dyDescent="0.15">
      <c r="A99"/>
      <c r="B99"/>
    </row>
    <row r="100" spans="1:2" x14ac:dyDescent="0.15">
      <c r="A100"/>
      <c r="B100"/>
    </row>
    <row r="101" spans="1:2" x14ac:dyDescent="0.15">
      <c r="A101"/>
      <c r="B101"/>
    </row>
    <row r="102" spans="1:2" x14ac:dyDescent="0.15">
      <c r="A102"/>
      <c r="B102"/>
    </row>
    <row r="103" spans="1:2" x14ac:dyDescent="0.15">
      <c r="A103"/>
      <c r="B103"/>
    </row>
    <row r="104" spans="1:2" x14ac:dyDescent="0.15">
      <c r="A104"/>
      <c r="B104"/>
    </row>
    <row r="105" spans="1:2" x14ac:dyDescent="0.15">
      <c r="A105"/>
      <c r="B105"/>
    </row>
    <row r="106" spans="1:2" x14ac:dyDescent="0.15">
      <c r="A106"/>
      <c r="B106"/>
    </row>
    <row r="107" spans="1:2" x14ac:dyDescent="0.15">
      <c r="A107"/>
      <c r="B107"/>
    </row>
    <row r="108" spans="1:2" x14ac:dyDescent="0.15">
      <c r="A108"/>
      <c r="B108"/>
    </row>
    <row r="109" spans="1:2" x14ac:dyDescent="0.15">
      <c r="A109"/>
      <c r="B109"/>
    </row>
    <row r="110" spans="1:2" x14ac:dyDescent="0.15">
      <c r="A110"/>
      <c r="B110"/>
    </row>
    <row r="111" spans="1:2" x14ac:dyDescent="0.15">
      <c r="A111"/>
      <c r="B111"/>
    </row>
    <row r="112" spans="1:2" x14ac:dyDescent="0.15">
      <c r="A112"/>
      <c r="B112"/>
    </row>
    <row r="113" spans="1:2" x14ac:dyDescent="0.15">
      <c r="A113"/>
      <c r="B113"/>
    </row>
    <row r="114" spans="1:2" x14ac:dyDescent="0.15">
      <c r="A114"/>
      <c r="B114"/>
    </row>
    <row r="115" spans="1:2" x14ac:dyDescent="0.15">
      <c r="A115"/>
      <c r="B115"/>
    </row>
    <row r="116" spans="1:2" x14ac:dyDescent="0.15">
      <c r="A116"/>
      <c r="B116"/>
    </row>
    <row r="117" spans="1:2" x14ac:dyDescent="0.15">
      <c r="A117"/>
      <c r="B117"/>
    </row>
  </sheetData>
  <phoneticPr fontId="4"/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F4:AF29"/>
  <sheetViews>
    <sheetView showGridLines="0" workbookViewId="0">
      <selection activeCell="B2" sqref="B2"/>
    </sheetView>
  </sheetViews>
  <sheetFormatPr defaultColWidth="2.625" defaultRowHeight="11.25" x14ac:dyDescent="0.15"/>
  <cols>
    <col min="1" max="5" width="2.625" style="65"/>
    <col min="6" max="6" width="6" style="65" bestFit="1" customWidth="1"/>
    <col min="7" max="11" width="2.625" style="65"/>
    <col min="12" max="13" width="3" style="65" bestFit="1" customWidth="1"/>
    <col min="14" max="15" width="2.625" style="65"/>
    <col min="16" max="20" width="2.625" style="65" customWidth="1"/>
    <col min="21" max="16384" width="2.625" style="65"/>
  </cols>
  <sheetData>
    <row r="4" spans="6:32" x14ac:dyDescent="0.15">
      <c r="G4" s="68" t="s">
        <v>75</v>
      </c>
    </row>
    <row r="5" spans="6:32" x14ac:dyDescent="0.15">
      <c r="F5" s="68"/>
      <c r="G5" s="67" t="s">
        <v>76</v>
      </c>
    </row>
    <row r="7" spans="6:32" x14ac:dyDescent="0.15">
      <c r="F7" s="69" t="s">
        <v>68</v>
      </c>
      <c r="G7" s="98" t="s">
        <v>74</v>
      </c>
      <c r="H7" s="98"/>
      <c r="I7" s="98"/>
      <c r="J7" s="98"/>
      <c r="K7" s="98"/>
      <c r="L7" s="98"/>
      <c r="M7" s="98"/>
      <c r="N7" s="98" t="s">
        <v>73</v>
      </c>
      <c r="O7" s="98"/>
      <c r="P7" s="98"/>
      <c r="Q7" s="98"/>
      <c r="R7" s="98"/>
      <c r="S7" s="98"/>
      <c r="T7" s="98"/>
    </row>
    <row r="8" spans="6:32" x14ac:dyDescent="0.15">
      <c r="G8" s="66">
        <v>1</v>
      </c>
      <c r="H8" s="66">
        <v>2</v>
      </c>
      <c r="I8" s="99" t="s">
        <v>72</v>
      </c>
      <c r="J8" s="100"/>
      <c r="K8" s="101"/>
      <c r="L8" s="66">
        <v>29</v>
      </c>
      <c r="M8" s="66">
        <v>30</v>
      </c>
      <c r="N8" s="66">
        <v>1</v>
      </c>
      <c r="O8" s="66">
        <v>2</v>
      </c>
      <c r="P8" s="99" t="s">
        <v>72</v>
      </c>
      <c r="Q8" s="100"/>
      <c r="R8" s="101"/>
      <c r="S8" s="66">
        <v>30</v>
      </c>
      <c r="T8" s="66">
        <v>31</v>
      </c>
    </row>
    <row r="12" spans="6:32" x14ac:dyDescent="0.15"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</row>
    <row r="13" spans="6:32" x14ac:dyDescent="0.15"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  <c r="AF13" s="67"/>
    </row>
    <row r="14" spans="6:32" x14ac:dyDescent="0.15"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  <c r="AF14" s="67"/>
    </row>
    <row r="15" spans="6:32" x14ac:dyDescent="0.15">
      <c r="G15" s="68" t="s">
        <v>69</v>
      </c>
      <c r="X15" s="67"/>
      <c r="Y15" s="67"/>
      <c r="Z15" s="67"/>
      <c r="AA15" s="67"/>
      <c r="AB15" s="67"/>
      <c r="AC15" s="67"/>
      <c r="AD15" s="67"/>
      <c r="AE15" s="67"/>
      <c r="AF15" s="67"/>
    </row>
    <row r="16" spans="6:32" x14ac:dyDescent="0.15">
      <c r="F16" s="68"/>
      <c r="G16" s="67" t="s">
        <v>77</v>
      </c>
      <c r="X16" s="67"/>
      <c r="Y16" s="67"/>
      <c r="Z16" s="67"/>
      <c r="AA16" s="67"/>
      <c r="AB16" s="67"/>
      <c r="AC16" s="67"/>
      <c r="AD16" s="67"/>
      <c r="AE16" s="67"/>
      <c r="AF16" s="67"/>
    </row>
    <row r="17" spans="6:32" x14ac:dyDescent="0.15">
      <c r="X17" s="67"/>
      <c r="Y17" s="67"/>
      <c r="Z17" s="67"/>
      <c r="AA17" s="67"/>
      <c r="AB17" s="67"/>
      <c r="AC17" s="67"/>
      <c r="AD17" s="67"/>
      <c r="AE17" s="67"/>
      <c r="AF17" s="67"/>
    </row>
    <row r="18" spans="6:32" x14ac:dyDescent="0.15">
      <c r="F18" s="69" t="s">
        <v>68</v>
      </c>
      <c r="G18" s="98" t="s">
        <v>70</v>
      </c>
      <c r="H18" s="98"/>
      <c r="I18" s="98"/>
      <c r="J18" s="98"/>
      <c r="K18" s="98"/>
      <c r="L18" s="98"/>
      <c r="M18" s="98"/>
      <c r="N18" s="98" t="s">
        <v>71</v>
      </c>
      <c r="O18" s="98"/>
      <c r="P18" s="98"/>
      <c r="Q18" s="98"/>
      <c r="R18" s="98"/>
      <c r="S18" s="98"/>
      <c r="T18" s="98"/>
      <c r="X18" s="67"/>
      <c r="Y18" s="67"/>
      <c r="Z18" s="67"/>
      <c r="AA18" s="67"/>
      <c r="AB18" s="67"/>
      <c r="AC18" s="67"/>
      <c r="AD18" s="67"/>
      <c r="AE18" s="67"/>
      <c r="AF18" s="67"/>
    </row>
    <row r="19" spans="6:32" x14ac:dyDescent="0.15">
      <c r="G19" s="66">
        <v>1</v>
      </c>
      <c r="H19" s="66">
        <v>2</v>
      </c>
      <c r="I19" s="66">
        <v>3</v>
      </c>
      <c r="J19" s="66">
        <v>4</v>
      </c>
      <c r="K19" s="66">
        <v>5</v>
      </c>
      <c r="L19" s="66">
        <v>6</v>
      </c>
      <c r="M19" s="66">
        <v>7</v>
      </c>
      <c r="N19" s="66">
        <v>8</v>
      </c>
      <c r="O19" s="66">
        <v>9</v>
      </c>
      <c r="P19" s="66">
        <v>10</v>
      </c>
      <c r="Q19" s="66">
        <v>11</v>
      </c>
      <c r="R19" s="66">
        <v>12</v>
      </c>
      <c r="S19" s="66">
        <v>13</v>
      </c>
      <c r="T19" s="66">
        <v>14</v>
      </c>
      <c r="X19" s="67"/>
      <c r="Y19" s="67"/>
      <c r="Z19" s="67"/>
      <c r="AA19" s="67"/>
      <c r="AB19" s="67"/>
      <c r="AC19" s="67"/>
      <c r="AD19" s="67"/>
      <c r="AE19" s="67"/>
      <c r="AF19" s="67"/>
    </row>
    <row r="20" spans="6:32" x14ac:dyDescent="0.15">
      <c r="X20" s="67"/>
      <c r="Y20" s="67"/>
      <c r="Z20" s="67"/>
      <c r="AA20" s="67"/>
      <c r="AB20" s="67"/>
      <c r="AC20" s="67"/>
      <c r="AD20" s="67"/>
      <c r="AE20" s="67"/>
      <c r="AF20" s="67"/>
    </row>
    <row r="21" spans="6:32" x14ac:dyDescent="0.15">
      <c r="X21" s="67"/>
      <c r="Y21" s="67"/>
      <c r="Z21" s="67"/>
      <c r="AA21" s="67"/>
      <c r="AB21" s="67"/>
      <c r="AC21" s="67"/>
      <c r="AD21" s="67"/>
      <c r="AE21" s="67"/>
      <c r="AF21" s="67"/>
    </row>
    <row r="22" spans="6:32" x14ac:dyDescent="0.15"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  <c r="AA22" s="67"/>
      <c r="AB22" s="67"/>
      <c r="AC22" s="67"/>
      <c r="AD22" s="67"/>
      <c r="AE22" s="67"/>
      <c r="AF22" s="67"/>
    </row>
    <row r="23" spans="6:32" x14ac:dyDescent="0.15"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/>
      <c r="AB23" s="67"/>
      <c r="AC23" s="67"/>
      <c r="AD23" s="67"/>
      <c r="AE23" s="67"/>
      <c r="AF23" s="67"/>
    </row>
    <row r="24" spans="6:32" x14ac:dyDescent="0.15"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D24" s="67"/>
      <c r="AE24" s="67"/>
      <c r="AF24" s="67"/>
    </row>
    <row r="25" spans="6:32" x14ac:dyDescent="0.15"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7"/>
      <c r="AE25" s="67"/>
      <c r="AF25" s="67"/>
    </row>
    <row r="26" spans="6:32" x14ac:dyDescent="0.15"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  <c r="AB26" s="67"/>
      <c r="AC26" s="67"/>
      <c r="AD26" s="67"/>
      <c r="AE26" s="67"/>
      <c r="AF26" s="67"/>
    </row>
    <row r="27" spans="6:32" x14ac:dyDescent="0.15"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7"/>
      <c r="AE27" s="67"/>
      <c r="AF27" s="67"/>
    </row>
    <row r="28" spans="6:32" x14ac:dyDescent="0.15"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67"/>
      <c r="AD28" s="67"/>
      <c r="AE28" s="67"/>
      <c r="AF28" s="67"/>
    </row>
    <row r="29" spans="6:32" x14ac:dyDescent="0.15"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7"/>
      <c r="AE29" s="67"/>
      <c r="AF29" s="67"/>
    </row>
  </sheetData>
  <mergeCells count="6">
    <mergeCell ref="G7:M7"/>
    <mergeCell ref="N7:T7"/>
    <mergeCell ref="I8:K8"/>
    <mergeCell ref="P8:R8"/>
    <mergeCell ref="G18:M18"/>
    <mergeCell ref="N18:T18"/>
  </mergeCells>
  <phoneticPr fontId="4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Project Sheet</vt:lpstr>
      <vt:lpstr>描画シート設定の例 (週次)</vt:lpstr>
      <vt:lpstr>描画シート設定の例 (月次)</vt:lpstr>
      <vt:lpstr>HOLIDAY</vt:lpstr>
      <vt:lpstr>Sheet2</vt:lpstr>
      <vt:lpstr>'Project Sheet'!_plCalendar</vt:lpstr>
      <vt:lpstr>'描画シート設定の例 (月次)'!_plCalendar</vt:lpstr>
      <vt:lpstr>'描画シート設定の例 (週次)'!_plCalendar</vt:lpstr>
      <vt:lpstr>'Project Sheet'!_plEndDate</vt:lpstr>
      <vt:lpstr>'描画シート設定の例 (月次)'!_plEndDate</vt:lpstr>
      <vt:lpstr>'描画シート設定の例 (週次)'!_plEndDate</vt:lpstr>
      <vt:lpstr>'Project Sheet'!_plProgressLine</vt:lpstr>
      <vt:lpstr>'描画シート設定の例 (月次)'!_plProgressLine</vt:lpstr>
      <vt:lpstr>'描画シート設定の例 (週次)'!_plProgressLine</vt:lpstr>
      <vt:lpstr>'Project Sheet'!_plProgressRatio</vt:lpstr>
      <vt:lpstr>'描画シート設定の例 (月次)'!_plProgressRatio</vt:lpstr>
      <vt:lpstr>'描画シート設定の例 (週次)'!_plProgressRatio</vt:lpstr>
      <vt:lpstr>'Project Sheet'!_plStartDate</vt:lpstr>
      <vt:lpstr>'描画シート設定の例 (月次)'!_plStartDate</vt:lpstr>
      <vt:lpstr>'描画シート設定の例 (週次)'!_plStartDate</vt:lpstr>
      <vt:lpstr>'Project Sheet'!_plTopTask</vt:lpstr>
      <vt:lpstr>'描画シート設定の例 (月次)'!_plTopTask</vt:lpstr>
      <vt:lpstr>'描画シート設定の例 (週次)'!_plTopTask</vt:lpstr>
      <vt:lpstr>HOLIDAYTBL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2021-01-19T08:39:26Z</dcterms:created>
  <dcterms:modified xsi:type="dcterms:W3CDTF">2021-03-25T14:36:11Z</dcterms:modified>
</cp:coreProperties>
</file>